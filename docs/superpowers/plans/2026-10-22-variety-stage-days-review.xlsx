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ractions" sheetId="2" state="visible" r:id="rId2"/>
    <sheet name="Crops" sheetId="3" state="visible" r:id="rId3"/>
    <sheet name="Varieties" sheetId="4" state="visible" r:id="rId4"/>
    <sheet name="Sources"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B4D2E"/>
      <sz val="14"/>
    </font>
    <font>
      <name val="Arial"/>
      <b val="1"/>
      <sz val="10"/>
    </font>
    <font>
      <name val="Arial"/>
      <sz val="10"/>
    </font>
    <font>
      <name val="Arial"/>
      <b val="1"/>
      <color rgb="00FFFFFF"/>
      <sz val="10"/>
    </font>
    <font>
      <name val="Arial"/>
      <color rgb="000000FF"/>
      <sz val="10"/>
    </font>
    <font>
      <name val="Arial"/>
      <i val="1"/>
      <color rgb="00595959"/>
      <sz val="9"/>
    </font>
  </fonts>
  <fills count="5">
    <fill>
      <patternFill/>
    </fill>
    <fill>
      <patternFill patternType="gray125"/>
    </fill>
    <fill>
      <patternFill patternType="solid">
        <fgColor rgb="001B4D2E"/>
      </patternFill>
    </fill>
    <fill>
      <patternFill patternType="solid">
        <fgColor rgb="00FFFF00"/>
      </patternFill>
    </fill>
    <fill>
      <patternFill patternType="solid">
        <fgColor rgb="00EBF5EE"/>
      </patternFill>
    </fill>
  </fills>
  <borders count="2">
    <border>
      <left/>
      <right/>
      <top/>
      <bottom/>
      <diagonal/>
    </border>
    <border>
      <left style="thin">
        <color rgb="00C8D5C8"/>
      </left>
      <right style="thin">
        <color rgb="00C8D5C8"/>
      </right>
      <top style="thin">
        <color rgb="00C8D5C8"/>
      </top>
      <bottom style="thin">
        <color rgb="00C8D5C8"/>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top" wrapText="1"/>
    </xf>
    <xf numFmtId="0" fontId="3" fillId="0" borderId="1" applyAlignment="1" pivotButton="0" quotePrefix="0" xfId="0">
      <alignment vertical="top" wrapText="1"/>
    </xf>
    <xf numFmtId="2" fontId="5" fillId="3" borderId="1" applyAlignment="1" pivotButton="0" quotePrefix="0" xfId="0">
      <alignment horizontal="center" vertical="top" wrapText="1"/>
    </xf>
    <xf numFmtId="0" fontId="3" fillId="0" borderId="1" applyAlignment="1" pivotButton="0" quotePrefix="0" xfId="0">
      <alignment horizontal="center" vertical="top" wrapText="1"/>
    </xf>
    <xf numFmtId="0" fontId="2" fillId="0" borderId="1" applyAlignment="1" pivotButton="0" quotePrefix="0" xfId="0">
      <alignment vertical="top" wrapText="1"/>
    </xf>
    <xf numFmtId="0" fontId="5" fillId="3" borderId="1" applyAlignment="1" pivotButton="0" quotePrefix="0" xfId="0">
      <alignment horizontal="center" vertical="top" wrapText="1"/>
    </xf>
    <xf numFmtId="0" fontId="5" fillId="0" borderId="1" applyAlignment="1" pivotButton="0" quotePrefix="0" xfId="0">
      <alignment horizontal="center" vertical="top" wrapText="1"/>
    </xf>
    <xf numFmtId="0" fontId="0" fillId="0" borderId="1" applyAlignment="1" pivotButton="0" quotePrefix="0" xfId="0">
      <alignment vertical="top" wrapText="1"/>
    </xf>
    <xf numFmtId="0" fontId="6" fillId="0" borderId="0" pivotButton="0" quotePrefix="0" xfId="0"/>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10" customWidth="1" min="2" max="2"/>
  </cols>
  <sheetData>
    <row r="1">
      <c r="A1" s="1" t="inlineStr">
        <is>
          <t>Crop growth-stage days and varieties: proposal for OMAg review</t>
        </is>
      </c>
    </row>
    <row r="3" ht="45" customHeight="1">
      <c r="A3" s="2" t="inlineStr">
        <is>
          <t>What this is</t>
        </is>
      </c>
      <c r="B3" s="3" t="inlineStr">
        <is>
          <t>A PROPOSAL, nothing has been entered in the system. It lists (1) the four growth-stage start days for each crop, (2) stage days for varieties that have their own days-to-harvest, and (3) new varieties for the crops that had fewer than two.</t>
        </is>
      </c>
    </row>
    <row r="4" ht="75" customHeight="1">
      <c r="A4" s="2" t="inlineStr">
        <is>
          <t>How the stage days are made</t>
        </is>
      </c>
      <c r="B4" s="3" t="inlineStr">
        <is>
          <t>Each stage day = days-to-harvest x a fraction, rounded to a whole day. The fractions are on the "Fractions" sheet (one row per kind of crop). They are TYPICAL crop-stage proportions from general agronomy, anchored to the few published figures I could find (e.g. Apollo tomato flowers 28-30 days after transplanting; rice matures 106-115 days). They are ESTIMATES, not variety-specific published numbers: stage start days per variety are not published anywhere I could reach.</t>
        </is>
      </c>
    </row>
    <row r="5" ht="30" customHeight="1">
      <c r="A5" s="2" t="inlineStr">
        <is>
          <t>What I need from you</t>
        </is>
      </c>
      <c r="B5" s="3" t="inlineStr">
        <is>
          <t>Edit any blue cell (fractions, days) or yellow cell that looks wrong for Aringay. The stage days recalculate. Then send it back and I will load exactly what is in the sheet.</t>
        </is>
      </c>
    </row>
    <row r="6" ht="45" customHeight="1">
      <c r="A6" s="2" t="inlineStr">
        <is>
          <t>Colour key</t>
        </is>
      </c>
      <c r="B6" s="3" t="inlineStr">
        <is>
          <t>Blue text = typed-in input you may change. Black text = formula (do not type over). Yellow fill = please confirm or correct. "CHECK" in the Order column means the four days are not strictly increasing.</t>
        </is>
      </c>
    </row>
    <row r="7" ht="60" customHeight="1">
      <c r="A7" s="2" t="inlineStr">
        <is>
          <t>What the four stages mean</t>
        </is>
      </c>
      <c r="B7" s="3" t="inlineStr">
        <is>
          <t>Vegetative start / Flowering start / Fruiting start / Maturity start = the day after planting (or transplanting) on which each stage begins. They must increase in that order. For crops without real flowers or fruit the stage names are borrowed: see "What the four stages mean" on the Fractions sheet.</t>
        </is>
      </c>
    </row>
    <row r="8" ht="60" customHeight="1">
      <c r="A8" s="2" t="inlineStr">
        <is>
          <t>Crops left blank on purpose</t>
        </is>
      </c>
      <c r="B8" s="3" t="inlineStr">
        <is>
          <t>Banana, Cacao, Coffee, Mango, Calamansi (perennial trees/plants: a day count from planting is not meaningful) and Rabong (bamboo shoots, harvested from established clumps). Their stage days stay empty, so the stage tracker shows nothing for them, as it does today. Tell me if you want them filled anyway.</t>
        </is>
      </c>
    </row>
    <row r="9" ht="45" customHeight="1">
      <c r="A9" s="2" t="inlineStr">
        <is>
          <t>Varieties not on the "Varieties" sheet</t>
        </is>
      </c>
      <c r="B9" s="3" t="inlineStr">
        <is>
          <t>Every other variety keeps inheriting its crop's numbers, as it does now. A variety only gets its own stage days when it has its own days-to-harvest, so that its stages scale to its own length.</t>
        </is>
      </c>
    </row>
    <row r="10" ht="30" customHeight="1">
      <c r="A10" s="2" t="inlineStr">
        <is>
          <t>How the system uses it</t>
        </is>
      </c>
      <c r="B10" s="3" t="inlineStr">
        <is>
          <t>A planting record's growth stage is worked out from the days since planting against these four numbers (variety first, crop second). All four must be set, or 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2" customWidth="1" min="3" max="3"/>
    <col width="12" customWidth="1" min="4" max="4"/>
    <col width="12" customWidth="1" min="5" max="5"/>
    <col width="30" customWidth="1" min="6" max="6"/>
    <col width="62" customWidth="1" min="7" max="7"/>
    <col width="52" customWidth="1" min="8" max="8"/>
  </cols>
  <sheetData>
    <row r="1">
      <c r="A1" s="1" t="inlineStr">
        <is>
          <t>Stage fractions by kind of crop (share of days-to-harvest at which each stage starts)</t>
        </is>
      </c>
    </row>
    <row r="3">
      <c r="A3" s="4" t="inlineStr">
        <is>
          <t>Kind of crop</t>
        </is>
      </c>
      <c r="B3" s="4" t="inlineStr">
        <is>
          <t>Vegetative start</t>
        </is>
      </c>
      <c r="C3" s="4" t="inlineStr">
        <is>
          <t>Flowering start</t>
        </is>
      </c>
      <c r="D3" s="4" t="inlineStr">
        <is>
          <t>Fruiting start</t>
        </is>
      </c>
      <c r="E3" s="4" t="inlineStr">
        <is>
          <t>Maturity start</t>
        </is>
      </c>
      <c r="F3" s="4" t="inlineStr">
        <is>
          <t>Crops using it</t>
        </is>
      </c>
      <c r="G3" s="4" t="inlineStr">
        <is>
          <t>What the four stages mean</t>
        </is>
      </c>
      <c r="H3" s="4" t="inlineStr">
        <is>
          <t>Basis</t>
        </is>
      </c>
    </row>
    <row r="4" ht="58" customHeight="1">
      <c r="A4" s="5" t="inlineStr">
        <is>
          <t>Cereal</t>
        </is>
      </c>
      <c r="B4" s="6" t="n">
        <v>0.06</v>
      </c>
      <c r="C4" s="6" t="n">
        <v>0.55</v>
      </c>
      <c r="D4" s="6" t="n">
        <v>0.7</v>
      </c>
      <c r="E4" s="6" t="n">
        <v>0.9</v>
      </c>
      <c r="F4" s="5" t="inlineStr">
        <is>
          <t>Palay (Rice), Corn (Mais)</t>
        </is>
      </c>
      <c r="G4" s="5" t="inlineStr">
        <is>
          <t>Vegetative = growth after emergence / transplanting; Flowering = heading (rice) or silking (corn); Fruiting = grain filling; Maturity = hard-grain stage up to harvest.</t>
        </is>
      </c>
      <c r="H4" s="5" t="inlineStr">
        <is>
          <t>Typical cereal timing; rice heads ~60 days into a 110-day crop. Rice maturity days are published (PhilRice).</t>
        </is>
      </c>
    </row>
    <row r="5" ht="58" customHeight="1">
      <c r="A5" s="5" t="inlineStr">
        <is>
          <t>Fruit vegetable</t>
        </is>
      </c>
      <c r="B5" s="6" t="n">
        <v>0.07000000000000001</v>
      </c>
      <c r="C5" s="6" t="n">
        <v>0.4</v>
      </c>
      <c r="D5" s="6" t="n">
        <v>0.55</v>
      </c>
      <c r="E5" s="6" t="n">
        <v>0.8</v>
      </c>
      <c r="F5" s="5" t="inlineStr">
        <is>
          <t>Tomato, Eggplant (Talong)</t>
        </is>
      </c>
      <c r="G5" s="5" t="inlineStr">
        <is>
          <t>Vegetative = growth after transplanting; Flowering = first flowers; Fruiting = fruit set and sizing; Maturity = fruit ripening / first harvests.</t>
        </is>
      </c>
      <c r="H5" s="5" t="inlineStr">
        <is>
          <t>Anchored to Apollo tomato flowering at 28-30 days after transplanting (Philippine trial) in a ~70-day crop.</t>
        </is>
      </c>
    </row>
    <row r="6" ht="58" customHeight="1">
      <c r="A6" s="5" t="inlineStr">
        <is>
          <t>Vine fruit</t>
        </is>
      </c>
      <c r="B6" s="6" t="n">
        <v>0.07000000000000001</v>
      </c>
      <c r="C6" s="6" t="n">
        <v>0.45</v>
      </c>
      <c r="D6" s="6" t="n">
        <v>0.6</v>
      </c>
      <c r="E6" s="6" t="n">
        <v>0.82</v>
      </c>
      <c r="F6" s="5" t="inlineStr">
        <is>
          <t>Ampalaya, Watermelon</t>
        </is>
      </c>
      <c r="G6" s="5" t="inlineStr">
        <is>
          <t>Vegetative = vine growth; Flowering = first female flowers; Fruiting = fruit set and sizing; Maturity = fruit ripening / harvest.</t>
        </is>
      </c>
      <c r="H6" s="5" t="inlineStr">
        <is>
          <t>Typical gourd and melon timing (flowering a little later than fruit vegetables).</t>
        </is>
      </c>
    </row>
    <row r="7" ht="58" customHeight="1">
      <c r="A7" s="5" t="inlineStr">
        <is>
          <t>Legume</t>
        </is>
      </c>
      <c r="B7" s="6" t="n">
        <v>0.08</v>
      </c>
      <c r="C7" s="6" t="n">
        <v>0.5</v>
      </c>
      <c r="D7" s="6" t="n">
        <v>0.65</v>
      </c>
      <c r="E7" s="6" t="n">
        <v>0.88</v>
      </c>
      <c r="F7" s="5" t="inlineStr">
        <is>
          <t>Green Bean, Mongo</t>
        </is>
      </c>
      <c r="G7" s="5" t="inlineStr">
        <is>
          <t>Vegetative = leaf growth; Flowering = first flowers; Fruiting = pod set and filling; Maturity = pods drying / harvest.</t>
        </is>
      </c>
      <c r="H7" s="5" t="inlineStr">
        <is>
          <t>Typical bean and mungbean timing; Pag-asa 7 mungbean matures in ~55 days.</t>
        </is>
      </c>
    </row>
    <row r="8" ht="58" customHeight="1">
      <c r="A8" s="5" t="inlineStr">
        <is>
          <t>Peanut</t>
        </is>
      </c>
      <c r="B8" s="6" t="n">
        <v>0.08</v>
      </c>
      <c r="C8" s="6" t="n">
        <v>0.28</v>
      </c>
      <c r="D8" s="6" t="n">
        <v>0.5</v>
      </c>
      <c r="E8" s="6" t="n">
        <v>0.9</v>
      </c>
      <c r="F8" s="5" t="inlineStr">
        <is>
          <t>Peanut</t>
        </is>
      </c>
      <c r="G8" s="5" t="inlineStr">
        <is>
          <t>Vegetative = leaf growth; Flowering = first flowers (early in peanut); Fruiting = pegging and pod filling; Maturity = pods mature, harvest.</t>
        </is>
      </c>
      <c r="H8" s="5" t="inlineStr">
        <is>
          <t>Peanut flowers about 4 weeks after planting and then fills pods for ~2 months.</t>
        </is>
      </c>
    </row>
    <row r="9" ht="58" customHeight="1">
      <c r="A9" s="5" t="inlineStr">
        <is>
          <t>Leafy / head</t>
        </is>
      </c>
      <c r="B9" s="6" t="n">
        <v>0.07000000000000001</v>
      </c>
      <c r="C9" s="6" t="n">
        <v>0.4</v>
      </c>
      <c r="D9" s="6" t="n">
        <v>0.6</v>
      </c>
      <c r="E9" s="6" t="n">
        <v>0.87</v>
      </c>
      <c r="F9" s="5" t="inlineStr">
        <is>
          <t>Pechay, Cabbage</t>
        </is>
      </c>
      <c r="G9" s="5" t="inlineStr">
        <is>
          <t>Vegetative = seedling and early leaf growth; Flowering = BORROWED: rapid leaf / head initiation; Fruiting = BORROWED: leaf expansion / head filling; Maturity = ready to cut.</t>
        </is>
      </c>
      <c r="H9" s="5" t="inlineStr">
        <is>
          <t>Typical leafy-vegetable timing; Philippine DA guides give cabbage as ready 55-60 days after transplanting.</t>
        </is>
      </c>
    </row>
    <row r="10" ht="58" customHeight="1">
      <c r="A10" s="5" t="inlineStr">
        <is>
          <t>Bulb</t>
        </is>
      </c>
      <c r="B10" s="6" t="n">
        <v>0.07000000000000001</v>
      </c>
      <c r="C10" s="6" t="n">
        <v>0.45</v>
      </c>
      <c r="D10" s="6" t="n">
        <v>0.65</v>
      </c>
      <c r="E10" s="6" t="n">
        <v>0.9</v>
      </c>
      <c r="F10" s="5" t="inlineStr">
        <is>
          <t>Onion, Garlic</t>
        </is>
      </c>
      <c r="G10" s="5" t="inlineStr">
        <is>
          <t>Vegetative = leaf growth; Flowering = BORROWED: bulb initiation; Fruiting = BORROWED: bulb enlargement; Maturity = neck fall / ready to pull.</t>
        </is>
      </c>
      <c r="H10" s="5" t="inlineStr">
        <is>
          <t>Typical bulb-crop timing (bulbing starts roughly 40-45 days into a 100-day onion crop).</t>
        </is>
      </c>
    </row>
    <row r="11" ht="58" customHeight="1">
      <c r="A11" s="5" t="inlineStr">
        <is>
          <t>Root / tuber</t>
        </is>
      </c>
      <c r="B11" s="6" t="n">
        <v>0.08</v>
      </c>
      <c r="C11" s="6" t="n">
        <v>0.25</v>
      </c>
      <c r="D11" s="6" t="n">
        <v>0.55</v>
      </c>
      <c r="E11" s="6" t="n">
        <v>0.85</v>
      </c>
      <c r="F11" s="5" t="inlineStr">
        <is>
          <t>Cassava, Kamote, Ginger</t>
        </is>
      </c>
      <c r="G11" s="5" t="inlineStr">
        <is>
          <t>Vegetative = sprouting and top growth; Flowering = BORROWED: tuber / rhizome initiation; Fruiting = BORROWED: bulking; Maturity = ready to dig.</t>
        </is>
      </c>
      <c r="H11" s="5" t="inlineStr">
        <is>
          <t>Typical root-crop timing (storage roots start forming about a month after planting).</t>
        </is>
      </c>
    </row>
    <row r="12" ht="58" customHeight="1">
      <c r="A12" s="5" t="inlineStr">
        <is>
          <t>Tobacco</t>
        </is>
      </c>
      <c r="B12" s="6" t="n">
        <v>0.08</v>
      </c>
      <c r="C12" s="6" t="n">
        <v>0.5</v>
      </c>
      <c r="D12" s="6" t="n">
        <v>0.7</v>
      </c>
      <c r="E12" s="6" t="n">
        <v>0.88</v>
      </c>
      <c r="F12" s="5" t="inlineStr">
        <is>
          <t>Tobacco</t>
        </is>
      </c>
      <c r="G12" s="5" t="inlineStr">
        <is>
          <t>Vegetative = leaf growth; Flowering = flower bud / topping; Fruiting = BORROWED: leaf thickening and ripening; Maturity = leaves ready to harvest.</t>
        </is>
      </c>
      <c r="H12" s="5" t="inlineStr">
        <is>
          <t>Typical tobacco timing.</t>
        </is>
      </c>
    </row>
    <row r="13" ht="58" customHeight="1">
      <c r="A13" s="5" t="inlineStr">
        <is>
          <t>Skip</t>
        </is>
      </c>
      <c r="B13" s="7" t="n"/>
      <c r="C13" s="7" t="n"/>
      <c r="D13" s="7" t="n"/>
      <c r="E13" s="7" t="n"/>
      <c r="F13" s="5" t="inlineStr">
        <is>
          <t>Banana, Cacao, Coffee, Mango, Calamansi, Rabong</t>
        </is>
      </c>
      <c r="G13" s="5" t="inlineStr">
        <is>
          <t>No stage days (see ReadMe).</t>
        </is>
      </c>
      <c r="H13"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16" customWidth="1" min="3" max="3"/>
    <col width="13" customWidth="1" min="4" max="4"/>
    <col width="13" customWidth="1" min="5" max="5"/>
    <col width="13" customWidth="1" min="6" max="6"/>
    <col width="13" customWidth="1" min="7" max="7"/>
    <col width="10" customWidth="1" min="8" max="8"/>
    <col width="48" customWidth="1" min="9" max="9"/>
  </cols>
  <sheetData>
    <row r="1">
      <c r="A1" s="1" t="inlineStr">
        <is>
          <t>Crop stage days (proposed): applies to every variety of the crop that has no own days</t>
        </is>
      </c>
    </row>
    <row r="3">
      <c r="A3" s="4" t="inlineStr">
        <is>
          <t>Crop</t>
        </is>
      </c>
      <c r="B3" s="4" t="inlineStr">
        <is>
          <t>Kind of crop</t>
        </is>
      </c>
      <c r="C3" s="4" t="inlineStr">
        <is>
          <t>Days to harvest (as in system)</t>
        </is>
      </c>
      <c r="D3" s="4" t="inlineStr">
        <is>
          <t>Vegetative start</t>
        </is>
      </c>
      <c r="E3" s="4" t="inlineStr">
        <is>
          <t>Flowering start</t>
        </is>
      </c>
      <c r="F3" s="4" t="inlineStr">
        <is>
          <t>Fruiting start</t>
        </is>
      </c>
      <c r="G3" s="4" t="inlineStr">
        <is>
          <t>Maturity start</t>
        </is>
      </c>
      <c r="H3" s="4" t="inlineStr">
        <is>
          <t>Order</t>
        </is>
      </c>
      <c r="I3" s="4" t="inlineStr">
        <is>
          <t>Note</t>
        </is>
      </c>
    </row>
    <row r="4">
      <c r="A4" s="8" t="inlineStr">
        <is>
          <t>Ampalaya</t>
        </is>
      </c>
      <c r="B4" s="9" t="inlineStr">
        <is>
          <t>Vine fruit</t>
        </is>
      </c>
      <c r="C4" s="10" t="n">
        <v>55</v>
      </c>
      <c r="D4" s="7">
        <f>IF($B4="Skip","",ROUND($C4*INDEX(Fractions!$B$4:$B$13,MATCH($B4,Fractions!$A$4:$A$13,0)),0))</f>
        <v/>
      </c>
      <c r="E4" s="7">
        <f>IF($B4="Skip","",ROUND($C4*INDEX(Fractions!$C$4:$C$13,MATCH($B4,Fractions!$A$4:$A$13,0)),0))</f>
        <v/>
      </c>
      <c r="F4" s="7">
        <f>IF($B4="Skip","",ROUND($C4*INDEX(Fractions!$D$4:$D$13,MATCH($B4,Fractions!$A$4:$A$13,0)),0))</f>
        <v/>
      </c>
      <c r="G4" s="7">
        <f>IF($B4="Skip","",ROUND($C4*INDEX(Fractions!$E$4:$E$13,MATCH($B4,Fractions!$A$4:$A$13,0)),0))</f>
        <v/>
      </c>
      <c r="H4" s="7">
        <f>IF($B4="Skip","-",IF(AND(D4&lt;E4,E4&lt;F4,F4&lt;G4),"OK","CHECK"))</f>
        <v/>
      </c>
      <c r="I4" s="11" t="inlineStr"/>
    </row>
    <row r="5">
      <c r="A5" s="8" t="inlineStr">
        <is>
          <t>Banana (Saging)</t>
        </is>
      </c>
      <c r="B5" s="9" t="inlineStr">
        <is>
          <t>Skip</t>
        </is>
      </c>
      <c r="C5" s="10" t="n">
        <v>365</v>
      </c>
      <c r="D5" s="7">
        <f>IF($B5="Skip","",ROUND($C5*INDEX(Fractions!$B$4:$B$13,MATCH($B5,Fractions!$A$4:$A$13,0)),0))</f>
        <v/>
      </c>
      <c r="E5" s="7">
        <f>IF($B5="Skip","",ROUND($C5*INDEX(Fractions!$C$4:$C$13,MATCH($B5,Fractions!$A$4:$A$13,0)),0))</f>
        <v/>
      </c>
      <c r="F5" s="7">
        <f>IF($B5="Skip","",ROUND($C5*INDEX(Fractions!$D$4:$D$13,MATCH($B5,Fractions!$A$4:$A$13,0)),0))</f>
        <v/>
      </c>
      <c r="G5" s="7">
        <f>IF($B5="Skip","",ROUND($C5*INDEX(Fractions!$E$4:$E$13,MATCH($B5,Fractions!$A$4:$A$13,0)),0))</f>
        <v/>
      </c>
      <c r="H5" s="7">
        <f>IF($B5="Skip","-",IF(AND(D5&lt;E5,E5&lt;F5,F5&lt;G5),"OK","CHECK"))</f>
        <v/>
      </c>
      <c r="I5" s="11" t="inlineStr">
        <is>
          <t>Perennial.</t>
        </is>
      </c>
    </row>
    <row r="6">
      <c r="A6" s="8" t="inlineStr">
        <is>
          <t>Cabbage</t>
        </is>
      </c>
      <c r="B6" s="9" t="inlineStr">
        <is>
          <t>Leafy / head</t>
        </is>
      </c>
      <c r="C6" s="10" t="n">
        <v>80</v>
      </c>
      <c r="D6" s="7">
        <f>IF($B6="Skip","",ROUND($C6*INDEX(Fractions!$B$4:$B$13,MATCH($B6,Fractions!$A$4:$A$13,0)),0))</f>
        <v/>
      </c>
      <c r="E6" s="7">
        <f>IF($B6="Skip","",ROUND($C6*INDEX(Fractions!$C$4:$C$13,MATCH($B6,Fractions!$A$4:$A$13,0)),0))</f>
        <v/>
      </c>
      <c r="F6" s="7">
        <f>IF($B6="Skip","",ROUND($C6*INDEX(Fractions!$D$4:$D$13,MATCH($B6,Fractions!$A$4:$A$13,0)),0))</f>
        <v/>
      </c>
      <c r="G6" s="7">
        <f>IF($B6="Skip","",ROUND($C6*INDEX(Fractions!$E$4:$E$13,MATCH($B6,Fractions!$A$4:$A$13,0)),0))</f>
        <v/>
      </c>
      <c r="H6" s="7">
        <f>IF($B6="Skip","-",IF(AND(D6&lt;E6,E6&lt;F6,F6&lt;G6),"OK","CHECK"))</f>
        <v/>
      </c>
      <c r="I6" s="11" t="inlineStr"/>
    </row>
    <row r="7">
      <c r="A7" s="8" t="inlineStr">
        <is>
          <t>Cacao</t>
        </is>
      </c>
      <c r="B7" s="9" t="inlineStr">
        <is>
          <t>Skip</t>
        </is>
      </c>
      <c r="C7" s="10" t="n">
        <v>150</v>
      </c>
      <c r="D7" s="7">
        <f>IF($B7="Skip","",ROUND($C7*INDEX(Fractions!$B$4:$B$13,MATCH($B7,Fractions!$A$4:$A$13,0)),0))</f>
        <v/>
      </c>
      <c r="E7" s="7">
        <f>IF($B7="Skip","",ROUND($C7*INDEX(Fractions!$C$4:$C$13,MATCH($B7,Fractions!$A$4:$A$13,0)),0))</f>
        <v/>
      </c>
      <c r="F7" s="7">
        <f>IF($B7="Skip","",ROUND($C7*INDEX(Fractions!$D$4:$D$13,MATCH($B7,Fractions!$A$4:$A$13,0)),0))</f>
        <v/>
      </c>
      <c r="G7" s="7">
        <f>IF($B7="Skip","",ROUND($C7*INDEX(Fractions!$E$4:$E$13,MATCH($B7,Fractions!$A$4:$A$13,0)),0))</f>
        <v/>
      </c>
      <c r="H7" s="7">
        <f>IF($B7="Skip","-",IF(AND(D7&lt;E7,E7&lt;F7,F7&lt;G7),"OK","CHECK"))</f>
        <v/>
      </c>
      <c r="I7" s="11" t="inlineStr">
        <is>
          <t>Perennial tree.</t>
        </is>
      </c>
    </row>
    <row r="8">
      <c r="A8" s="8" t="inlineStr">
        <is>
          <t>Calamansi</t>
        </is>
      </c>
      <c r="B8" s="9" t="inlineStr">
        <is>
          <t>Skip</t>
        </is>
      </c>
      <c r="C8" s="10" t="n">
        <v>120</v>
      </c>
      <c r="D8" s="7">
        <f>IF($B8="Skip","",ROUND($C8*INDEX(Fractions!$B$4:$B$13,MATCH($B8,Fractions!$A$4:$A$13,0)),0))</f>
        <v/>
      </c>
      <c r="E8" s="7">
        <f>IF($B8="Skip","",ROUND($C8*INDEX(Fractions!$C$4:$C$13,MATCH($B8,Fractions!$A$4:$A$13,0)),0))</f>
        <v/>
      </c>
      <c r="F8" s="7">
        <f>IF($B8="Skip","",ROUND($C8*INDEX(Fractions!$D$4:$D$13,MATCH($B8,Fractions!$A$4:$A$13,0)),0))</f>
        <v/>
      </c>
      <c r="G8" s="7">
        <f>IF($B8="Skip","",ROUND($C8*INDEX(Fractions!$E$4:$E$13,MATCH($B8,Fractions!$A$4:$A$13,0)),0))</f>
        <v/>
      </c>
      <c r="H8" s="7">
        <f>IF($B8="Skip","-",IF(AND(D8&lt;E8,E8&lt;F8,F8&lt;G8),"OK","CHECK"))</f>
        <v/>
      </c>
      <c r="I8" s="11" t="inlineStr">
        <is>
          <t>Perennial tree; fruit can take up to a year to ripen.</t>
        </is>
      </c>
    </row>
    <row r="9">
      <c r="A9" s="8" t="inlineStr">
        <is>
          <t>Cassava</t>
        </is>
      </c>
      <c r="B9" s="9" t="inlineStr">
        <is>
          <t>Root / tuber</t>
        </is>
      </c>
      <c r="C9" s="10" t="n">
        <v>270</v>
      </c>
      <c r="D9" s="7">
        <f>IF($B9="Skip","",ROUND($C9*INDEX(Fractions!$B$4:$B$13,MATCH($B9,Fractions!$A$4:$A$13,0)),0))</f>
        <v/>
      </c>
      <c r="E9" s="7">
        <f>IF($B9="Skip","",ROUND($C9*INDEX(Fractions!$C$4:$C$13,MATCH($B9,Fractions!$A$4:$A$13,0)),0))</f>
        <v/>
      </c>
      <c r="F9" s="7">
        <f>IF($B9="Skip","",ROUND($C9*INDEX(Fractions!$D$4:$D$13,MATCH($B9,Fractions!$A$4:$A$13,0)),0))</f>
        <v/>
      </c>
      <c r="G9" s="7">
        <f>IF($B9="Skip","",ROUND($C9*INDEX(Fractions!$E$4:$E$13,MATCH($B9,Fractions!$A$4:$A$13,0)),0))</f>
        <v/>
      </c>
      <c r="H9" s="7">
        <f>IF($B9="Skip","-",IF(AND(D9&lt;E9,E9&lt;F9,F9&lt;G9),"OK","CHECK"))</f>
        <v/>
      </c>
      <c r="I9" s="11" t="inlineStr"/>
    </row>
    <row r="10">
      <c r="A10" s="8" t="inlineStr">
        <is>
          <t>Coffee (Kape)</t>
        </is>
      </c>
      <c r="B10" s="9" t="inlineStr">
        <is>
          <t>Skip</t>
        </is>
      </c>
      <c r="C10" s="10" t="n">
        <v>365</v>
      </c>
      <c r="D10" s="7">
        <f>IF($B10="Skip","",ROUND($C10*INDEX(Fractions!$B$4:$B$13,MATCH($B10,Fractions!$A$4:$A$13,0)),0))</f>
        <v/>
      </c>
      <c r="E10" s="7">
        <f>IF($B10="Skip","",ROUND($C10*INDEX(Fractions!$C$4:$C$13,MATCH($B10,Fractions!$A$4:$A$13,0)),0))</f>
        <v/>
      </c>
      <c r="F10" s="7">
        <f>IF($B10="Skip","",ROUND($C10*INDEX(Fractions!$D$4:$D$13,MATCH($B10,Fractions!$A$4:$A$13,0)),0))</f>
        <v/>
      </c>
      <c r="G10" s="7">
        <f>IF($B10="Skip","",ROUND($C10*INDEX(Fractions!$E$4:$E$13,MATCH($B10,Fractions!$A$4:$A$13,0)),0))</f>
        <v/>
      </c>
      <c r="H10" s="7">
        <f>IF($B10="Skip","-",IF(AND(D10&lt;E10,E10&lt;F10,F10&lt;G10),"OK","CHECK"))</f>
        <v/>
      </c>
      <c r="I10" s="11" t="inlineStr">
        <is>
          <t>Perennial shrub.</t>
        </is>
      </c>
    </row>
    <row r="11">
      <c r="A11" s="8" t="inlineStr">
        <is>
          <t>Corn (Mais)</t>
        </is>
      </c>
      <c r="B11" s="9" t="inlineStr">
        <is>
          <t>Cereal</t>
        </is>
      </c>
      <c r="C11" s="10" t="n">
        <v>90</v>
      </c>
      <c r="D11" s="7">
        <f>IF($B11="Skip","",ROUND($C11*INDEX(Fractions!$B$4:$B$13,MATCH($B11,Fractions!$A$4:$A$13,0)),0))</f>
        <v/>
      </c>
      <c r="E11" s="7">
        <f>IF($B11="Skip","",ROUND($C11*INDEX(Fractions!$C$4:$C$13,MATCH($B11,Fractions!$A$4:$A$13,0)),0))</f>
        <v/>
      </c>
      <c r="F11" s="7">
        <f>IF($B11="Skip","",ROUND($C11*INDEX(Fractions!$D$4:$D$13,MATCH($B11,Fractions!$A$4:$A$13,0)),0))</f>
        <v/>
      </c>
      <c r="G11" s="7">
        <f>IF($B11="Skip","",ROUND($C11*INDEX(Fractions!$E$4:$E$13,MATCH($B11,Fractions!$A$4:$A$13,0)),0))</f>
        <v/>
      </c>
      <c r="H11" s="7">
        <f>IF($B11="Skip","-",IF(AND(D11&lt;E11,E11&lt;F11,F11&lt;G11),"OK","CHECK"))</f>
        <v/>
      </c>
      <c r="I11" s="11" t="inlineStr"/>
    </row>
    <row r="12">
      <c r="A12" s="8" t="inlineStr">
        <is>
          <t>Eggplant (Talong)</t>
        </is>
      </c>
      <c r="B12" s="9" t="inlineStr">
        <is>
          <t>Fruit vegetable</t>
        </is>
      </c>
      <c r="C12" s="10" t="n">
        <v>75</v>
      </c>
      <c r="D12" s="7">
        <f>IF($B12="Skip","",ROUND($C12*INDEX(Fractions!$B$4:$B$13,MATCH($B12,Fractions!$A$4:$A$13,0)),0))</f>
        <v/>
      </c>
      <c r="E12" s="7">
        <f>IF($B12="Skip","",ROUND($C12*INDEX(Fractions!$C$4:$C$13,MATCH($B12,Fractions!$A$4:$A$13,0)),0))</f>
        <v/>
      </c>
      <c r="F12" s="7">
        <f>IF($B12="Skip","",ROUND($C12*INDEX(Fractions!$D$4:$D$13,MATCH($B12,Fractions!$A$4:$A$13,0)),0))</f>
        <v/>
      </c>
      <c r="G12" s="7">
        <f>IF($B12="Skip","",ROUND($C12*INDEX(Fractions!$E$4:$E$13,MATCH($B12,Fractions!$A$4:$A$13,0)),0))</f>
        <v/>
      </c>
      <c r="H12" s="7">
        <f>IF($B12="Skip","-",IF(AND(D12&lt;E12,E12&lt;F12,F12&lt;G12),"OK","CHECK"))</f>
        <v/>
      </c>
      <c r="I12" s="11" t="inlineStr"/>
    </row>
    <row r="13">
      <c r="A13" s="8" t="inlineStr">
        <is>
          <t>Garlic</t>
        </is>
      </c>
      <c r="B13" s="9" t="inlineStr">
        <is>
          <t>Bulb</t>
        </is>
      </c>
      <c r="C13" s="10" t="n">
        <v>90</v>
      </c>
      <c r="D13" s="7">
        <f>IF($B13="Skip","",ROUND($C13*INDEX(Fractions!$B$4:$B$13,MATCH($B13,Fractions!$A$4:$A$13,0)),0))</f>
        <v/>
      </c>
      <c r="E13" s="7">
        <f>IF($B13="Skip","",ROUND($C13*INDEX(Fractions!$C$4:$C$13,MATCH($B13,Fractions!$A$4:$A$13,0)),0))</f>
        <v/>
      </c>
      <c r="F13" s="7">
        <f>IF($B13="Skip","",ROUND($C13*INDEX(Fractions!$D$4:$D$13,MATCH($B13,Fractions!$A$4:$A$13,0)),0))</f>
        <v/>
      </c>
      <c r="G13" s="7">
        <f>IF($B13="Skip","",ROUND($C13*INDEX(Fractions!$E$4:$E$13,MATCH($B13,Fractions!$A$4:$A$13,0)),0))</f>
        <v/>
      </c>
      <c r="H13" s="7">
        <f>IF($B13="Skip","-",IF(AND(D13&lt;E13,E13&lt;F13,F13&lt;G13),"OK","CHECK"))</f>
        <v/>
      </c>
      <c r="I13" s="11" t="inlineStr"/>
    </row>
    <row r="14">
      <c r="A14" s="8" t="inlineStr">
        <is>
          <t>Ginger</t>
        </is>
      </c>
      <c r="B14" s="9" t="inlineStr">
        <is>
          <t>Root / tuber</t>
        </is>
      </c>
      <c r="C14" s="10" t="n">
        <v>180</v>
      </c>
      <c r="D14" s="7">
        <f>IF($B14="Skip","",ROUND($C14*INDEX(Fractions!$B$4:$B$13,MATCH($B14,Fractions!$A$4:$A$13,0)),0))</f>
        <v/>
      </c>
      <c r="E14" s="7">
        <f>IF($B14="Skip","",ROUND($C14*INDEX(Fractions!$C$4:$C$13,MATCH($B14,Fractions!$A$4:$A$13,0)),0))</f>
        <v/>
      </c>
      <c r="F14" s="7">
        <f>IF($B14="Skip","",ROUND($C14*INDEX(Fractions!$D$4:$D$13,MATCH($B14,Fractions!$A$4:$A$13,0)),0))</f>
        <v/>
      </c>
      <c r="G14" s="7">
        <f>IF($B14="Skip","",ROUND($C14*INDEX(Fractions!$E$4:$E$13,MATCH($B14,Fractions!$A$4:$A$13,0)),0))</f>
        <v/>
      </c>
      <c r="H14" s="7">
        <f>IF($B14="Skip","-",IF(AND(D14&lt;E14,E14&lt;F14,F14&lt;G14),"OK","CHECK"))</f>
        <v/>
      </c>
      <c r="I14" s="11" t="inlineStr"/>
    </row>
    <row r="15">
      <c r="A15" s="8" t="inlineStr">
        <is>
          <t>Green Bean</t>
        </is>
      </c>
      <c r="B15" s="9" t="inlineStr">
        <is>
          <t>Legume</t>
        </is>
      </c>
      <c r="C15" s="10" t="n">
        <v>60</v>
      </c>
      <c r="D15" s="7">
        <f>IF($B15="Skip","",ROUND($C15*INDEX(Fractions!$B$4:$B$13,MATCH($B15,Fractions!$A$4:$A$13,0)),0))</f>
        <v/>
      </c>
      <c r="E15" s="7">
        <f>IF($B15="Skip","",ROUND($C15*INDEX(Fractions!$C$4:$C$13,MATCH($B15,Fractions!$A$4:$A$13,0)),0))</f>
        <v/>
      </c>
      <c r="F15" s="7">
        <f>IF($B15="Skip","",ROUND($C15*INDEX(Fractions!$D$4:$D$13,MATCH($B15,Fractions!$A$4:$A$13,0)),0))</f>
        <v/>
      </c>
      <c r="G15" s="7">
        <f>IF($B15="Skip","",ROUND($C15*INDEX(Fractions!$E$4:$E$13,MATCH($B15,Fractions!$A$4:$A$13,0)),0))</f>
        <v/>
      </c>
      <c r="H15" s="7">
        <f>IF($B15="Skip","-",IF(AND(D15&lt;E15,E15&lt;F15,F15&lt;G15),"OK","CHECK"))</f>
        <v/>
      </c>
      <c r="I15" s="11" t="inlineStr"/>
    </row>
    <row r="16">
      <c r="A16" s="8" t="inlineStr">
        <is>
          <t>Kamote</t>
        </is>
      </c>
      <c r="B16" s="9" t="inlineStr">
        <is>
          <t>Root / tuber</t>
        </is>
      </c>
      <c r="C16" s="10" t="n">
        <v>120</v>
      </c>
      <c r="D16" s="7">
        <f>IF($B16="Skip","",ROUND($C16*INDEX(Fractions!$B$4:$B$13,MATCH($B16,Fractions!$A$4:$A$13,0)),0))</f>
        <v/>
      </c>
      <c r="E16" s="7">
        <f>IF($B16="Skip","",ROUND($C16*INDEX(Fractions!$C$4:$C$13,MATCH($B16,Fractions!$A$4:$A$13,0)),0))</f>
        <v/>
      </c>
      <c r="F16" s="7">
        <f>IF($B16="Skip","",ROUND($C16*INDEX(Fractions!$D$4:$D$13,MATCH($B16,Fractions!$A$4:$A$13,0)),0))</f>
        <v/>
      </c>
      <c r="G16" s="7">
        <f>IF($B16="Skip","",ROUND($C16*INDEX(Fractions!$E$4:$E$13,MATCH($B16,Fractions!$A$4:$A$13,0)),0))</f>
        <v/>
      </c>
      <c r="H16" s="7">
        <f>IF($B16="Skip","-",IF(AND(D16&lt;E16,E16&lt;F16,F16&lt;G16),"OK","CHECK"))</f>
        <v/>
      </c>
      <c r="I16" s="11" t="inlineStr"/>
    </row>
    <row r="17">
      <c r="A17" s="8" t="inlineStr">
        <is>
          <t>Mango</t>
        </is>
      </c>
      <c r="B17" s="9" t="inlineStr">
        <is>
          <t>Skip</t>
        </is>
      </c>
      <c r="C17" s="10" t="n">
        <v>120</v>
      </c>
      <c r="D17" s="7">
        <f>IF($B17="Skip","",ROUND($C17*INDEX(Fractions!$B$4:$B$13,MATCH($B17,Fractions!$A$4:$A$13,0)),0))</f>
        <v/>
      </c>
      <c r="E17" s="7">
        <f>IF($B17="Skip","",ROUND($C17*INDEX(Fractions!$C$4:$C$13,MATCH($B17,Fractions!$A$4:$A$13,0)),0))</f>
        <v/>
      </c>
      <c r="F17" s="7">
        <f>IF($B17="Skip","",ROUND($C17*INDEX(Fractions!$D$4:$D$13,MATCH($B17,Fractions!$A$4:$A$13,0)),0))</f>
        <v/>
      </c>
      <c r="G17" s="7">
        <f>IF($B17="Skip","",ROUND($C17*INDEX(Fractions!$E$4:$E$13,MATCH($B17,Fractions!$A$4:$A$13,0)),0))</f>
        <v/>
      </c>
      <c r="H17" s="7">
        <f>IF($B17="Skip","-",IF(AND(D17&lt;E17,E17&lt;F17,F17&lt;G17),"OK","CHECK"))</f>
        <v/>
      </c>
      <c r="I17" s="11" t="inlineStr">
        <is>
          <t>Perennial tree.</t>
        </is>
      </c>
    </row>
    <row r="18">
      <c r="A18" s="8" t="inlineStr">
        <is>
          <t>Mongo</t>
        </is>
      </c>
      <c r="B18" s="9" t="inlineStr">
        <is>
          <t>Legume</t>
        </is>
      </c>
      <c r="C18" s="10" t="n">
        <v>65</v>
      </c>
      <c r="D18" s="7">
        <f>IF($B18="Skip","",ROUND($C18*INDEX(Fractions!$B$4:$B$13,MATCH($B18,Fractions!$A$4:$A$13,0)),0))</f>
        <v/>
      </c>
      <c r="E18" s="7">
        <f>IF($B18="Skip","",ROUND($C18*INDEX(Fractions!$C$4:$C$13,MATCH($B18,Fractions!$A$4:$A$13,0)),0))</f>
        <v/>
      </c>
      <c r="F18" s="7">
        <f>IF($B18="Skip","",ROUND($C18*INDEX(Fractions!$D$4:$D$13,MATCH($B18,Fractions!$A$4:$A$13,0)),0))</f>
        <v/>
      </c>
      <c r="G18" s="7">
        <f>IF($B18="Skip","",ROUND($C18*INDEX(Fractions!$E$4:$E$13,MATCH($B18,Fractions!$A$4:$A$13,0)),0))</f>
        <v/>
      </c>
      <c r="H18" s="7">
        <f>IF($B18="Skip","-",IF(AND(D18&lt;E18,E18&lt;F18,F18&lt;G18),"OK","CHECK"))</f>
        <v/>
      </c>
      <c r="I18" s="11" t="inlineStr"/>
    </row>
    <row r="19">
      <c r="A19" s="8" t="inlineStr">
        <is>
          <t>Onion</t>
        </is>
      </c>
      <c r="B19" s="9" t="inlineStr">
        <is>
          <t>Bulb</t>
        </is>
      </c>
      <c r="C19" s="10" t="n">
        <v>100</v>
      </c>
      <c r="D19" s="7">
        <f>IF($B19="Skip","",ROUND($C19*INDEX(Fractions!$B$4:$B$13,MATCH($B19,Fractions!$A$4:$A$13,0)),0))</f>
        <v/>
      </c>
      <c r="E19" s="7">
        <f>IF($B19="Skip","",ROUND($C19*INDEX(Fractions!$C$4:$C$13,MATCH($B19,Fractions!$A$4:$A$13,0)),0))</f>
        <v/>
      </c>
      <c r="F19" s="7">
        <f>IF($B19="Skip","",ROUND($C19*INDEX(Fractions!$D$4:$D$13,MATCH($B19,Fractions!$A$4:$A$13,0)),0))</f>
        <v/>
      </c>
      <c r="G19" s="7">
        <f>IF($B19="Skip","",ROUND($C19*INDEX(Fractions!$E$4:$E$13,MATCH($B19,Fractions!$A$4:$A$13,0)),0))</f>
        <v/>
      </c>
      <c r="H19" s="7">
        <f>IF($B19="Skip","-",IF(AND(D19&lt;E19,E19&lt;F19,F19&lt;G19),"OK","CHECK"))</f>
        <v/>
      </c>
      <c r="I19" s="11" t="inlineStr"/>
    </row>
    <row r="20">
      <c r="A20" s="8" t="inlineStr">
        <is>
          <t>Palay (Rice)</t>
        </is>
      </c>
      <c r="B20" s="9" t="inlineStr">
        <is>
          <t>Cereal</t>
        </is>
      </c>
      <c r="C20" s="10" t="n">
        <v>110</v>
      </c>
      <c r="D20" s="7">
        <f>IF($B20="Skip","",ROUND($C20*INDEX(Fractions!$B$4:$B$13,MATCH($B20,Fractions!$A$4:$A$13,0)),0))</f>
        <v/>
      </c>
      <c r="E20" s="7">
        <f>IF($B20="Skip","",ROUND($C20*INDEX(Fractions!$C$4:$C$13,MATCH($B20,Fractions!$A$4:$A$13,0)),0))</f>
        <v/>
      </c>
      <c r="F20" s="7">
        <f>IF($B20="Skip","",ROUND($C20*INDEX(Fractions!$D$4:$D$13,MATCH($B20,Fractions!$A$4:$A$13,0)),0))</f>
        <v/>
      </c>
      <c r="G20" s="7">
        <f>IF($B20="Skip","",ROUND($C20*INDEX(Fractions!$E$4:$E$13,MATCH($B20,Fractions!$A$4:$A$13,0)),0))</f>
        <v/>
      </c>
      <c r="H20" s="7">
        <f>IF($B20="Skip","-",IF(AND(D20&lt;E20,E20&lt;F20,F20&lt;G20),"OK","CHECK"))</f>
        <v/>
      </c>
      <c r="I20" s="11" t="inlineStr"/>
    </row>
    <row r="21">
      <c r="A21" s="8" t="inlineStr">
        <is>
          <t>Peanut</t>
        </is>
      </c>
      <c r="B21" s="9" t="inlineStr">
        <is>
          <t>Peanut</t>
        </is>
      </c>
      <c r="C21" s="10" t="n">
        <v>100</v>
      </c>
      <c r="D21" s="7">
        <f>IF($B21="Skip","",ROUND($C21*INDEX(Fractions!$B$4:$B$13,MATCH($B21,Fractions!$A$4:$A$13,0)),0))</f>
        <v/>
      </c>
      <c r="E21" s="7">
        <f>IF($B21="Skip","",ROUND($C21*INDEX(Fractions!$C$4:$C$13,MATCH($B21,Fractions!$A$4:$A$13,0)),0))</f>
        <v/>
      </c>
      <c r="F21" s="7">
        <f>IF($B21="Skip","",ROUND($C21*INDEX(Fractions!$D$4:$D$13,MATCH($B21,Fractions!$A$4:$A$13,0)),0))</f>
        <v/>
      </c>
      <c r="G21" s="7">
        <f>IF($B21="Skip","",ROUND($C21*INDEX(Fractions!$E$4:$E$13,MATCH($B21,Fractions!$A$4:$A$13,0)),0))</f>
        <v/>
      </c>
      <c r="H21" s="7">
        <f>IF($B21="Skip","-",IF(AND(D21&lt;E21,E21&lt;F21,F21&lt;G21),"OK","CHECK"))</f>
        <v/>
      </c>
      <c r="I21" s="11" t="inlineStr"/>
    </row>
    <row r="22">
      <c r="A22" s="8" t="inlineStr">
        <is>
          <t>Pechay</t>
        </is>
      </c>
      <c r="B22" s="9" t="inlineStr">
        <is>
          <t>Leafy / head</t>
        </is>
      </c>
      <c r="C22" s="10" t="n">
        <v>30</v>
      </c>
      <c r="D22" s="7">
        <f>IF($B22="Skip","",ROUND($C22*INDEX(Fractions!$B$4:$B$13,MATCH($B22,Fractions!$A$4:$A$13,0)),0))</f>
        <v/>
      </c>
      <c r="E22" s="7">
        <f>IF($B22="Skip","",ROUND($C22*INDEX(Fractions!$C$4:$C$13,MATCH($B22,Fractions!$A$4:$A$13,0)),0))</f>
        <v/>
      </c>
      <c r="F22" s="7">
        <f>IF($B22="Skip","",ROUND($C22*INDEX(Fractions!$D$4:$D$13,MATCH($B22,Fractions!$A$4:$A$13,0)),0))</f>
        <v/>
      </c>
      <c r="G22" s="7">
        <f>IF($B22="Skip","",ROUND($C22*INDEX(Fractions!$E$4:$E$13,MATCH($B22,Fractions!$A$4:$A$13,0)),0))</f>
        <v/>
      </c>
      <c r="H22" s="7">
        <f>IF($B22="Skip","-",IF(AND(D22&lt;E22,E22&lt;F22,F22&lt;G22),"OK","CHECK"))</f>
        <v/>
      </c>
      <c r="I22" s="11" t="inlineStr"/>
    </row>
    <row r="23">
      <c r="A23" s="8" t="inlineStr">
        <is>
          <t>Rabong</t>
        </is>
      </c>
      <c r="B23" s="9" t="inlineStr">
        <is>
          <t>Skip</t>
        </is>
      </c>
      <c r="C23" s="10" t="n">
        <v>21</v>
      </c>
      <c r="D23" s="7">
        <f>IF($B23="Skip","",ROUND($C23*INDEX(Fractions!$B$4:$B$13,MATCH($B23,Fractions!$A$4:$A$13,0)),0))</f>
        <v/>
      </c>
      <c r="E23" s="7">
        <f>IF($B23="Skip","",ROUND($C23*INDEX(Fractions!$C$4:$C$13,MATCH($B23,Fractions!$A$4:$A$13,0)),0))</f>
        <v/>
      </c>
      <c r="F23" s="7">
        <f>IF($B23="Skip","",ROUND($C23*INDEX(Fractions!$D$4:$D$13,MATCH($B23,Fractions!$A$4:$A$13,0)),0))</f>
        <v/>
      </c>
      <c r="G23" s="7">
        <f>IF($B23="Skip","",ROUND($C23*INDEX(Fractions!$E$4:$E$13,MATCH($B23,Fractions!$A$4:$A$13,0)),0))</f>
        <v/>
      </c>
      <c r="H23" s="7">
        <f>IF($B23="Skip","-",IF(AND(D23&lt;E23,E23&lt;F23,F23&lt;G23),"OK","CHECK"))</f>
        <v/>
      </c>
      <c r="I23" s="11" t="inlineStr">
        <is>
          <t>Bamboo shoots from established clumps.</t>
        </is>
      </c>
    </row>
    <row r="24">
      <c r="A24" s="8" t="inlineStr">
        <is>
          <t>Tobacco</t>
        </is>
      </c>
      <c r="B24" s="9" t="inlineStr">
        <is>
          <t>Tobacco</t>
        </is>
      </c>
      <c r="C24" s="10" t="n">
        <v>90</v>
      </c>
      <c r="D24" s="7">
        <f>IF($B24="Skip","",ROUND($C24*INDEX(Fractions!$B$4:$B$13,MATCH($B24,Fractions!$A$4:$A$13,0)),0))</f>
        <v/>
      </c>
      <c r="E24" s="7">
        <f>IF($B24="Skip","",ROUND($C24*INDEX(Fractions!$C$4:$C$13,MATCH($B24,Fractions!$A$4:$A$13,0)),0))</f>
        <v/>
      </c>
      <c r="F24" s="7">
        <f>IF($B24="Skip","",ROUND($C24*INDEX(Fractions!$D$4:$D$13,MATCH($B24,Fractions!$A$4:$A$13,0)),0))</f>
        <v/>
      </c>
      <c r="G24" s="7">
        <f>IF($B24="Skip","",ROUND($C24*INDEX(Fractions!$E$4:$E$13,MATCH($B24,Fractions!$A$4:$A$13,0)),0))</f>
        <v/>
      </c>
      <c r="H24" s="7">
        <f>IF($B24="Skip","-",IF(AND(D24&lt;E24,E24&lt;F24,F24&lt;G24),"OK","CHECK"))</f>
        <v/>
      </c>
      <c r="I24" s="11" t="inlineStr"/>
    </row>
    <row r="25">
      <c r="A25" s="8" t="inlineStr">
        <is>
          <t>Tomato</t>
        </is>
      </c>
      <c r="B25" s="9" t="inlineStr">
        <is>
          <t>Fruit vegetable</t>
        </is>
      </c>
      <c r="C25" s="10" t="n">
        <v>70</v>
      </c>
      <c r="D25" s="7">
        <f>IF($B25="Skip","",ROUND($C25*INDEX(Fractions!$B$4:$B$13,MATCH($B25,Fractions!$A$4:$A$13,0)),0))</f>
        <v/>
      </c>
      <c r="E25" s="7">
        <f>IF($B25="Skip","",ROUND($C25*INDEX(Fractions!$C$4:$C$13,MATCH($B25,Fractions!$A$4:$A$13,0)),0))</f>
        <v/>
      </c>
      <c r="F25" s="7">
        <f>IF($B25="Skip","",ROUND($C25*INDEX(Fractions!$D$4:$D$13,MATCH($B25,Fractions!$A$4:$A$13,0)),0))</f>
        <v/>
      </c>
      <c r="G25" s="7">
        <f>IF($B25="Skip","",ROUND($C25*INDEX(Fractions!$E$4:$E$13,MATCH($B25,Fractions!$A$4:$A$13,0)),0))</f>
        <v/>
      </c>
      <c r="H25" s="7">
        <f>IF($B25="Skip","-",IF(AND(D25&lt;E25,E25&lt;F25,F25&lt;G25),"OK","CHECK"))</f>
        <v/>
      </c>
      <c r="I25" s="11" t="inlineStr"/>
    </row>
    <row r="26">
      <c r="A26" s="8" t="inlineStr">
        <is>
          <t>Watermelon</t>
        </is>
      </c>
      <c r="B26" s="9" t="inlineStr">
        <is>
          <t>Vine fruit</t>
        </is>
      </c>
      <c r="C26" s="10" t="n">
        <v>90</v>
      </c>
      <c r="D26" s="7">
        <f>IF($B26="Skip","",ROUND($C26*INDEX(Fractions!$B$4:$B$13,MATCH($B26,Fractions!$A$4:$A$13,0)),0))</f>
        <v/>
      </c>
      <c r="E26" s="7">
        <f>IF($B26="Skip","",ROUND($C26*INDEX(Fractions!$C$4:$C$13,MATCH($B26,Fractions!$A$4:$A$13,0)),0))</f>
        <v/>
      </c>
      <c r="F26" s="7">
        <f>IF($B26="Skip","",ROUND($C26*INDEX(Fractions!$D$4:$D$13,MATCH($B26,Fractions!$A$4:$A$13,0)),0))</f>
        <v/>
      </c>
      <c r="G26" s="7">
        <f>IF($B26="Skip","",ROUND($C26*INDEX(Fractions!$E$4:$E$13,MATCH($B26,Fractions!$A$4:$A$13,0)),0))</f>
        <v/>
      </c>
      <c r="H26" s="7">
        <f>IF($B26="Skip","-",IF(AND(D26&lt;E26,E26&lt;F26,F26&lt;G26),"OK","CHECK"))</f>
        <v/>
      </c>
      <c r="I26" s="11" t="inlineStr"/>
    </row>
    <row r="28">
      <c r="A28" s="12" t="inlineStr">
        <is>
          <t>"Days to harvest" is copied from the system as it is today and is not changed by this proposal. Source of the kinds and fractions: Fractions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3" customWidth="1" min="3" max="3"/>
    <col width="11" customWidth="1" min="4" max="4"/>
    <col width="15" customWidth="1" min="5" max="5"/>
    <col width="11" customWidth="1" min="6" max="6"/>
    <col width="11" customWidth="1" min="7" max="7"/>
    <col width="11" customWidth="1" min="8" max="8"/>
    <col width="11" customWidth="1" min="9" max="9"/>
    <col width="8" customWidth="1" min="10" max="10"/>
    <col width="30" customWidth="1" min="11" max="11"/>
    <col width="70" customWidth="1" min="12" max="12"/>
  </cols>
  <sheetData>
    <row r="1">
      <c r="A1" s="1" t="inlineStr">
        <is>
          <t>Varieties: new additions and varieties with their own days-to-harvest</t>
        </is>
      </c>
    </row>
    <row r="3">
      <c r="A3" s="4" t="inlineStr">
        <is>
          <t>Crop</t>
        </is>
      </c>
      <c r="B3" s="4" t="inlineStr">
        <is>
          <t>Variety</t>
        </is>
      </c>
      <c r="C3" s="4" t="inlineStr">
        <is>
          <t>Action</t>
        </is>
      </c>
      <c r="D3" s="4" t="inlineStr">
        <is>
          <t>Days to harvest</t>
        </is>
      </c>
      <c r="E3" s="4" t="inlineStr">
        <is>
          <t>Kind of crop</t>
        </is>
      </c>
      <c r="F3" s="4" t="inlineStr">
        <is>
          <t>Vegetative start</t>
        </is>
      </c>
      <c r="G3" s="4" t="inlineStr">
        <is>
          <t>Flowering start</t>
        </is>
      </c>
      <c r="H3" s="4" t="inlineStr">
        <is>
          <t>Fruiting start</t>
        </is>
      </c>
      <c r="I3" s="4" t="inlineStr">
        <is>
          <t>Maturity start</t>
        </is>
      </c>
      <c r="J3" s="4" t="inlineStr">
        <is>
          <t>Order</t>
        </is>
      </c>
      <c r="K3" s="4" t="inlineStr">
        <is>
          <t>Where the days come from</t>
        </is>
      </c>
      <c r="L3" s="4" t="inlineStr">
        <is>
          <t>Source / note</t>
        </is>
      </c>
    </row>
    <row r="4">
      <c r="A4" s="8" t="inlineStr">
        <is>
          <t>Calamansi</t>
        </is>
      </c>
      <c r="B4" s="8" t="inlineStr">
        <is>
          <t>Makasim (NSIC 2023 C1 01)</t>
        </is>
      </c>
      <c r="C4" s="13" t="inlineStr">
        <is>
          <t>ADD</t>
        </is>
      </c>
      <c r="D4" s="10" t="n"/>
      <c r="E4" s="7">
        <f>INDEX(Crops!$B$4:$B$26,MATCH($A4,Crops!$A$4:$A$26,0))</f>
        <v/>
      </c>
      <c r="F4" s="7">
        <f>IF(OR($D4="",$E4="Skip"),"",ROUND($D4*INDEX(Fractions!$B$4:$B$13,MATCH($E4,Fractions!$A$4:$A$13,0)),0))</f>
        <v/>
      </c>
      <c r="G4" s="7">
        <f>IF(OR($D4="",$E4="Skip"),"",ROUND($D4*INDEX(Fractions!$C$4:$C$13,MATCH($E4,Fractions!$A$4:$A$13,0)),0))</f>
        <v/>
      </c>
      <c r="H4" s="7">
        <f>IF(OR($D4="",$E4="Skip"),"",ROUND($D4*INDEX(Fractions!$D$4:$D$13,MATCH($E4,Fractions!$A$4:$A$13,0)),0))</f>
        <v/>
      </c>
      <c r="I4" s="7">
        <f>IF(OR($D4="",$E4="Skip"),"",ROUND($D4*INDEX(Fractions!$E$4:$E$13,MATCH($E4,Fractions!$A$4:$A$13,0)),0))</f>
        <v/>
      </c>
      <c r="J4" s="7">
        <f>IF(F4="","-",IF(AND(F4&lt;G4,G4&lt;H4,H4&lt;I4),"OK","CHECK"))</f>
        <v/>
      </c>
      <c r="K4" s="11" t="inlineStr">
        <is>
          <t>No days published</t>
        </is>
      </c>
      <c r="L4" s="11" t="inlineStr">
        <is>
          <t>Source: DA: first NSIC-registered calamansi, planted at BPI Jan 2024 - https://www.da.gov.ph/gallery/planting-ceremony-of-1st-nsic-registered-calamansi-january-25-2024/</t>
        </is>
      </c>
    </row>
    <row r="5">
      <c r="A5" s="8" t="inlineStr">
        <is>
          <t>Calamansi</t>
        </is>
      </c>
      <c r="B5" s="8" t="inlineStr">
        <is>
          <t>Native (Calamansi)</t>
        </is>
      </c>
      <c r="C5" s="13" t="inlineStr">
        <is>
          <t>ADD</t>
        </is>
      </c>
      <c r="D5" s="10" t="n"/>
      <c r="E5" s="7">
        <f>INDEX(Crops!$B$4:$B$26,MATCH($A5,Crops!$A$4:$A$26,0))</f>
        <v/>
      </c>
      <c r="F5" s="7">
        <f>IF(OR($D5="",$E5="Skip"),"",ROUND($D5*INDEX(Fractions!$B$4:$B$13,MATCH($E5,Fractions!$A$4:$A$13,0)),0))</f>
        <v/>
      </c>
      <c r="G5" s="7">
        <f>IF(OR($D5="",$E5="Skip"),"",ROUND($D5*INDEX(Fractions!$C$4:$C$13,MATCH($E5,Fractions!$A$4:$A$13,0)),0))</f>
        <v/>
      </c>
      <c r="H5" s="7">
        <f>IF(OR($D5="",$E5="Skip"),"",ROUND($D5*INDEX(Fractions!$D$4:$D$13,MATCH($E5,Fractions!$A$4:$A$13,0)),0))</f>
        <v/>
      </c>
      <c r="I5" s="7">
        <f>IF(OR($D5="",$E5="Skip"),"",ROUND($D5*INDEX(Fractions!$E$4:$E$13,MATCH($E5,Fractions!$A$4:$A$13,0)),0))</f>
        <v/>
      </c>
      <c r="J5" s="7">
        <f>IF(F5="","-",IF(AND(F5&lt;G5,G5&lt;H5,H5&lt;I5),"OK","CHECK"))</f>
        <v/>
      </c>
      <c r="K5" s="11" t="inlineStr">
        <is>
          <t>No days published</t>
        </is>
      </c>
      <c r="L5" s="11" t="inlineStr">
        <is>
          <t>Generic local type, named like the other "Native (X)" entries already in the system.</t>
        </is>
      </c>
    </row>
    <row r="6">
      <c r="A6" s="8" t="inlineStr">
        <is>
          <t>Mongo</t>
        </is>
      </c>
      <c r="B6" s="8" t="inlineStr">
        <is>
          <t>Pag-asa 7</t>
        </is>
      </c>
      <c r="C6" s="13" t="inlineStr">
        <is>
          <t>ADD</t>
        </is>
      </c>
      <c r="D6" s="9" t="n">
        <v>55</v>
      </c>
      <c r="E6" s="7">
        <f>INDEX(Crops!$B$4:$B$26,MATCH($A6,Crops!$A$4:$A$26,0))</f>
        <v/>
      </c>
      <c r="F6" s="7">
        <f>IF(OR($D6="",$E6="Skip"),"",ROUND($D6*INDEX(Fractions!$B$4:$B$13,MATCH($E6,Fractions!$A$4:$A$13,0)),0))</f>
        <v/>
      </c>
      <c r="G6" s="7">
        <f>IF(OR($D6="",$E6="Skip"),"",ROUND($D6*INDEX(Fractions!$C$4:$C$13,MATCH($E6,Fractions!$A$4:$A$13,0)),0))</f>
        <v/>
      </c>
      <c r="H6" s="7">
        <f>IF(OR($D6="",$E6="Skip"),"",ROUND($D6*INDEX(Fractions!$D$4:$D$13,MATCH($E6,Fractions!$A$4:$A$13,0)),0))</f>
        <v/>
      </c>
      <c r="I6" s="7">
        <f>IF(OR($D6="",$E6="Skip"),"",ROUND($D6*INDEX(Fractions!$E$4:$E$13,MATCH($E6,Fractions!$A$4:$A$13,0)),0))</f>
        <v/>
      </c>
      <c r="J6" s="7">
        <f>IF(F6="","-",IF(AND(F6&lt;G6,G6&lt;H6,H6&lt;I6),"OK","CHECK"))</f>
        <v/>
      </c>
      <c r="K6" s="11" t="inlineStr">
        <is>
          <t>Published (small trial)</t>
        </is>
      </c>
      <c r="L6" s="11" t="inlineStr">
        <is>
          <t>Source: DMMMSU La Union thesis: matured earliest, 55 days - https://lakasa.dmmmsu.edu.ph/handle/123456789/1062</t>
        </is>
      </c>
    </row>
    <row r="7">
      <c r="A7" s="8" t="inlineStr">
        <is>
          <t>Mongo</t>
        </is>
      </c>
      <c r="B7" s="8" t="inlineStr">
        <is>
          <t>Pag-asa 3</t>
        </is>
      </c>
      <c r="C7" s="13" t="inlineStr">
        <is>
          <t>ADD</t>
        </is>
      </c>
      <c r="D7" s="9" t="n">
        <v>68</v>
      </c>
      <c r="E7" s="7">
        <f>INDEX(Crops!$B$4:$B$26,MATCH($A7,Crops!$A$4:$A$26,0))</f>
        <v/>
      </c>
      <c r="F7" s="7">
        <f>IF(OR($D7="",$E7="Skip"),"",ROUND($D7*INDEX(Fractions!$B$4:$B$13,MATCH($E7,Fractions!$A$4:$A$13,0)),0))</f>
        <v/>
      </c>
      <c r="G7" s="7">
        <f>IF(OR($D7="",$E7="Skip"),"",ROUND($D7*INDEX(Fractions!$C$4:$C$13,MATCH($E7,Fractions!$A$4:$A$13,0)),0))</f>
        <v/>
      </c>
      <c r="H7" s="7">
        <f>IF(OR($D7="",$E7="Skip"),"",ROUND($D7*INDEX(Fractions!$D$4:$D$13,MATCH($E7,Fractions!$A$4:$A$13,0)),0))</f>
        <v/>
      </c>
      <c r="I7" s="7">
        <f>IF(OR($D7="",$E7="Skip"),"",ROUND($D7*INDEX(Fractions!$E$4:$E$13,MATCH($E7,Fractions!$A$4:$A$13,0)),0))</f>
        <v/>
      </c>
      <c r="J7" s="7">
        <f>IF(F7="","-",IF(AND(F7&lt;G7,G7&lt;H7,H7&lt;I7),"OK","CHECK"))</f>
        <v/>
      </c>
      <c r="K7" s="11" t="inlineStr">
        <is>
          <t>Published range 63-73; midpoint used</t>
        </is>
      </c>
      <c r="L7" s="11" t="inlineStr">
        <is>
          <t>Source: UPLB / DA mungbean guide: harvest 63-73 days AFTER EMERGENCE - https://ovcre.uplb.edu.ph/research/our-technologies/article/212-pag-asa-3-mungbean</t>
        </is>
      </c>
    </row>
    <row r="8">
      <c r="A8" s="8" t="inlineStr">
        <is>
          <t>Mongo</t>
        </is>
      </c>
      <c r="B8" s="8" t="inlineStr">
        <is>
          <t>PSB Mg 10 (IPB Mg 7a 13-45)</t>
        </is>
      </c>
      <c r="C8" s="13" t="inlineStr">
        <is>
          <t>ADD</t>
        </is>
      </c>
      <c r="D8" s="10" t="n"/>
      <c r="E8" s="7">
        <f>INDEX(Crops!$B$4:$B$26,MATCH($A8,Crops!$A$4:$A$26,0))</f>
        <v/>
      </c>
      <c r="F8" s="7">
        <f>IF(OR($D8="",$E8="Skip"),"",ROUND($D8*INDEX(Fractions!$B$4:$B$13,MATCH($E8,Fractions!$A$4:$A$13,0)),0))</f>
        <v/>
      </c>
      <c r="G8" s="7">
        <f>IF(OR($D8="",$E8="Skip"),"",ROUND($D8*INDEX(Fractions!$C$4:$C$13,MATCH($E8,Fractions!$A$4:$A$13,0)),0))</f>
        <v/>
      </c>
      <c r="H8" s="7">
        <f>IF(OR($D8="",$E8="Skip"),"",ROUND($D8*INDEX(Fractions!$D$4:$D$13,MATCH($E8,Fractions!$A$4:$A$13,0)),0))</f>
        <v/>
      </c>
      <c r="I8" s="7">
        <f>IF(OR($D8="",$E8="Skip"),"",ROUND($D8*INDEX(Fractions!$E$4:$E$13,MATCH($E8,Fractions!$A$4:$A$13,0)),0))</f>
        <v/>
      </c>
      <c r="J8" s="7">
        <f>IF(F8="","-",IF(AND(F8&lt;G8,G8&lt;H8,H8&lt;I8),"OK","CHECK"))</f>
        <v/>
      </c>
      <c r="K8" s="11" t="inlineStr">
        <is>
          <t>No days published</t>
        </is>
      </c>
      <c r="L8" s="11" t="inlineStr">
        <is>
          <t>Source: AGRIS record: promising mungbean for lowland rice-based systems - https://agris.fao.org/search/ar/records/647239efe17b74d2224eef12</t>
        </is>
      </c>
    </row>
    <row r="9">
      <c r="A9" s="8" t="inlineStr">
        <is>
          <t>Peanut</t>
        </is>
      </c>
      <c r="B9" s="8" t="inlineStr">
        <is>
          <t>PSB Pn 1 (UPL Pn 10)</t>
        </is>
      </c>
      <c r="C9" s="13" t="inlineStr">
        <is>
          <t>ADD</t>
        </is>
      </c>
      <c r="D9" s="10" t="n"/>
      <c r="E9" s="7">
        <f>INDEX(Crops!$B$4:$B$26,MATCH($A9,Crops!$A$4:$A$26,0))</f>
        <v/>
      </c>
      <c r="F9" s="7">
        <f>IF(OR($D9="",$E9="Skip"),"",ROUND($D9*INDEX(Fractions!$B$4:$B$13,MATCH($E9,Fractions!$A$4:$A$13,0)),0))</f>
        <v/>
      </c>
      <c r="G9" s="7">
        <f>IF(OR($D9="",$E9="Skip"),"",ROUND($D9*INDEX(Fractions!$C$4:$C$13,MATCH($E9,Fractions!$A$4:$A$13,0)),0))</f>
        <v/>
      </c>
      <c r="H9" s="7">
        <f>IF(OR($D9="",$E9="Skip"),"",ROUND($D9*INDEX(Fractions!$D$4:$D$13,MATCH($E9,Fractions!$A$4:$A$13,0)),0))</f>
        <v/>
      </c>
      <c r="I9" s="7">
        <f>IF(OR($D9="",$E9="Skip"),"",ROUND($D9*INDEX(Fractions!$E$4:$E$13,MATCH($E9,Fractions!$A$4:$A$13,0)),0))</f>
        <v/>
      </c>
      <c r="J9" s="7">
        <f>IF(F9="","-",IF(AND(F9&lt;G9,G9&lt;H9,H9&lt;I9),"OK","CHECK"))</f>
        <v/>
      </c>
      <c r="K9" s="11" t="inlineStr">
        <is>
          <t>No days published</t>
        </is>
      </c>
      <c r="L9" s="11" t="inlineStr">
        <is>
          <t>Source: BPI peanut production guide - https://library.buplant.da.gov.ph/./images/1641970554PEANUT%20production%20guide.pdf</t>
        </is>
      </c>
    </row>
    <row r="10">
      <c r="A10" s="8" t="inlineStr">
        <is>
          <t>Peanut</t>
        </is>
      </c>
      <c r="B10" s="8" t="inlineStr">
        <is>
          <t>PSB Pn 12 (UPL Pn 12)</t>
        </is>
      </c>
      <c r="C10" s="13" t="inlineStr">
        <is>
          <t>ADD</t>
        </is>
      </c>
      <c r="D10" s="10" t="n"/>
      <c r="E10" s="7">
        <f>INDEX(Crops!$B$4:$B$26,MATCH($A10,Crops!$A$4:$A$26,0))</f>
        <v/>
      </c>
      <c r="F10" s="7">
        <f>IF(OR($D10="",$E10="Skip"),"",ROUND($D10*INDEX(Fractions!$B$4:$B$13,MATCH($E10,Fractions!$A$4:$A$13,0)),0))</f>
        <v/>
      </c>
      <c r="G10" s="7">
        <f>IF(OR($D10="",$E10="Skip"),"",ROUND($D10*INDEX(Fractions!$C$4:$C$13,MATCH($E10,Fractions!$A$4:$A$13,0)),0))</f>
        <v/>
      </c>
      <c r="H10" s="7">
        <f>IF(OR($D10="",$E10="Skip"),"",ROUND($D10*INDEX(Fractions!$D$4:$D$13,MATCH($E10,Fractions!$A$4:$A$13,0)),0))</f>
        <v/>
      </c>
      <c r="I10" s="7">
        <f>IF(OR($D10="",$E10="Skip"),"",ROUND($D10*INDEX(Fractions!$E$4:$E$13,MATCH($E10,Fractions!$A$4:$A$13,0)),0))</f>
        <v/>
      </c>
      <c r="J10" s="7">
        <f>IF(F10="","-",IF(AND(F10&lt;G10,G10&lt;H10,H10&lt;I10),"OK","CHECK"))</f>
        <v/>
      </c>
      <c r="K10" s="11" t="inlineStr">
        <is>
          <t>No days published</t>
        </is>
      </c>
      <c r="L10" s="11" t="inlineStr">
        <is>
          <t>Source: IPB-UPLB Valencia peanut release (AGRIS) - https://agris.fao.org/search/ar/records/64724affe17b74d2224fa258</t>
        </is>
      </c>
    </row>
    <row r="11">
      <c r="A11" s="8" t="inlineStr">
        <is>
          <t>Peanut</t>
        </is>
      </c>
      <c r="B11" s="8" t="inlineStr">
        <is>
          <t>BPI Pn 9</t>
        </is>
      </c>
      <c r="C11" s="13" t="inlineStr">
        <is>
          <t>ADD</t>
        </is>
      </c>
      <c r="D11" s="10" t="n"/>
      <c r="E11" s="7">
        <f>INDEX(Crops!$B$4:$B$26,MATCH($A11,Crops!$A$4:$A$26,0))</f>
        <v/>
      </c>
      <c r="F11" s="7">
        <f>IF(OR($D11="",$E11="Skip"),"",ROUND($D11*INDEX(Fractions!$B$4:$B$13,MATCH($E11,Fractions!$A$4:$A$13,0)),0))</f>
        <v/>
      </c>
      <c r="G11" s="7">
        <f>IF(OR($D11="",$E11="Skip"),"",ROUND($D11*INDEX(Fractions!$C$4:$C$13,MATCH($E11,Fractions!$A$4:$A$13,0)),0))</f>
        <v/>
      </c>
      <c r="H11" s="7">
        <f>IF(OR($D11="",$E11="Skip"),"",ROUND($D11*INDEX(Fractions!$D$4:$D$13,MATCH($E11,Fractions!$A$4:$A$13,0)),0))</f>
        <v/>
      </c>
      <c r="I11" s="7">
        <f>IF(OR($D11="",$E11="Skip"),"",ROUND($D11*INDEX(Fractions!$E$4:$E$13,MATCH($E11,Fractions!$A$4:$A$13,0)),0))</f>
        <v/>
      </c>
      <c r="J11" s="7">
        <f>IF(F11="","-",IF(AND(F11&lt;G11,G11&lt;H11,H11&lt;I11),"OK","CHECK"))</f>
        <v/>
      </c>
      <c r="K11" s="11" t="inlineStr">
        <is>
          <t>No days published</t>
        </is>
      </c>
      <c r="L11" s="11" t="inlineStr">
        <is>
          <t>Source: Nueva Vizcaya trial (AGRIS) - https://agris.fao.org/search/zh/records/64738d47ce9437aa76fed9f0</t>
        </is>
      </c>
    </row>
    <row r="12">
      <c r="A12" s="8" t="inlineStr">
        <is>
          <t>Rabong</t>
        </is>
      </c>
      <c r="B12" s="8" t="inlineStr">
        <is>
          <t>Kawayang Tinik (Bambusa blumeana)</t>
        </is>
      </c>
      <c r="C12" s="13" t="inlineStr">
        <is>
          <t>ADD</t>
        </is>
      </c>
      <c r="D12" s="10" t="n"/>
      <c r="E12" s="7">
        <f>INDEX(Crops!$B$4:$B$26,MATCH($A12,Crops!$A$4:$A$26,0))</f>
        <v/>
      </c>
      <c r="F12" s="7">
        <f>IF(OR($D12="",$E12="Skip"),"",ROUND($D12*INDEX(Fractions!$B$4:$B$13,MATCH($E12,Fractions!$A$4:$A$13,0)),0))</f>
        <v/>
      </c>
      <c r="G12" s="7">
        <f>IF(OR($D12="",$E12="Skip"),"",ROUND($D12*INDEX(Fractions!$C$4:$C$13,MATCH($E12,Fractions!$A$4:$A$13,0)),0))</f>
        <v/>
      </c>
      <c r="H12" s="7">
        <f>IF(OR($D12="",$E12="Skip"),"",ROUND($D12*INDEX(Fractions!$D$4:$D$13,MATCH($E12,Fractions!$A$4:$A$13,0)),0))</f>
        <v/>
      </c>
      <c r="I12" s="7">
        <f>IF(OR($D12="",$E12="Skip"),"",ROUND($D12*INDEX(Fractions!$E$4:$E$13,MATCH($E12,Fractions!$A$4:$A$13,0)),0))</f>
        <v/>
      </c>
      <c r="J12" s="7">
        <f>IF(F12="","-",IF(AND(F12&lt;G12,G12&lt;H12,H12&lt;I12),"OK","CHECK"))</f>
        <v/>
      </c>
      <c r="K12" s="11" t="inlineStr">
        <is>
          <t>No days published</t>
        </is>
      </c>
      <c r="L12" s="11" t="inlineStr">
        <is>
          <t>Source: UPLB survey: the most widespread and most popular edible bamboo - https://www.ukdr.uplb.edu.ph/journal-articles/4649</t>
        </is>
      </c>
    </row>
    <row r="13">
      <c r="A13" s="8" t="inlineStr">
        <is>
          <t>Rabong</t>
        </is>
      </c>
      <c r="B13" s="8" t="inlineStr">
        <is>
          <t>Kawayang Kiling (Bambusa vulgaris)</t>
        </is>
      </c>
      <c r="C13" s="13" t="inlineStr">
        <is>
          <t>ADD</t>
        </is>
      </c>
      <c r="D13" s="10" t="n"/>
      <c r="E13" s="7">
        <f>INDEX(Crops!$B$4:$B$26,MATCH($A13,Crops!$A$4:$A$26,0))</f>
        <v/>
      </c>
      <c r="F13" s="7">
        <f>IF(OR($D13="",$E13="Skip"),"",ROUND($D13*INDEX(Fractions!$B$4:$B$13,MATCH($E13,Fractions!$A$4:$A$13,0)),0))</f>
        <v/>
      </c>
      <c r="G13" s="7">
        <f>IF(OR($D13="",$E13="Skip"),"",ROUND($D13*INDEX(Fractions!$C$4:$C$13,MATCH($E13,Fractions!$A$4:$A$13,0)),0))</f>
        <v/>
      </c>
      <c r="H13" s="7">
        <f>IF(OR($D13="",$E13="Skip"),"",ROUND($D13*INDEX(Fractions!$D$4:$D$13,MATCH($E13,Fractions!$A$4:$A$13,0)),0))</f>
        <v/>
      </c>
      <c r="I13" s="7">
        <f>IF(OR($D13="",$E13="Skip"),"",ROUND($D13*INDEX(Fractions!$E$4:$E$13,MATCH($E13,Fractions!$A$4:$A$13,0)),0))</f>
        <v/>
      </c>
      <c r="J13" s="7">
        <f>IF(F13="","-",IF(AND(F13&lt;G13,G13&lt;H13,H13&lt;I13),"OK","CHECK"))</f>
        <v/>
      </c>
      <c r="K13" s="11" t="inlineStr">
        <is>
          <t>No days published</t>
        </is>
      </c>
      <c r="L13" s="11" t="inlineStr">
        <is>
          <t>Source: Same UPLB survey: edible shoots, second in abundance - https://www.ukdr.uplb.edu.ph/journal-articles/4649</t>
        </is>
      </c>
    </row>
    <row r="14">
      <c r="A14" s="8" t="inlineStr">
        <is>
          <t>Palay (Rice)</t>
        </is>
      </c>
      <c r="B14" s="8" t="inlineStr">
        <is>
          <t>NSIC Rc300</t>
        </is>
      </c>
      <c r="C14" s="13" t="inlineStr">
        <is>
          <t>UPDATE days</t>
        </is>
      </c>
      <c r="D14" s="9" t="n">
        <v>115</v>
      </c>
      <c r="E14" s="7">
        <f>INDEX(Crops!$B$4:$B$26,MATCH($A14,Crops!$A$4:$A$26,0))</f>
        <v/>
      </c>
      <c r="F14" s="7">
        <f>IF(OR($D14="",$E14="Skip"),"",ROUND($D14*INDEX(Fractions!$B$4:$B$13,MATCH($E14,Fractions!$A$4:$A$13,0)),0))</f>
        <v/>
      </c>
      <c r="G14" s="7">
        <f>IF(OR($D14="",$E14="Skip"),"",ROUND($D14*INDEX(Fractions!$C$4:$C$13,MATCH($E14,Fractions!$A$4:$A$13,0)),0))</f>
        <v/>
      </c>
      <c r="H14" s="7">
        <f>IF(OR($D14="",$E14="Skip"),"",ROUND($D14*INDEX(Fractions!$D$4:$D$13,MATCH($E14,Fractions!$A$4:$A$13,0)),0))</f>
        <v/>
      </c>
      <c r="I14" s="7">
        <f>IF(OR($D14="",$E14="Skip"),"",ROUND($D14*INDEX(Fractions!$E$4:$E$13,MATCH($E14,Fractions!$A$4:$A$13,0)),0))</f>
        <v/>
      </c>
      <c r="J14" s="7">
        <f>IF(F14="","-",IF(AND(F14&lt;G14,G14&lt;H14,H14&lt;I14),"OK","CHECK"))</f>
        <v/>
      </c>
      <c r="K14" s="11" t="inlineStr">
        <is>
          <t>Published (transplanted)</t>
        </is>
      </c>
      <c r="L14" s="11" t="inlineStr">
        <is>
          <t>Source: PhilRice: matures 115 days after sowing when transplanted - https://www.philrice.gov.ph/?p=7338</t>
        </is>
      </c>
    </row>
    <row r="15">
      <c r="A15" s="8" t="inlineStr">
        <is>
          <t>Palay (Rice)</t>
        </is>
      </c>
      <c r="B15" s="8" t="inlineStr">
        <is>
          <t>NSIC Rc216 (Tubigan 17)</t>
        </is>
      </c>
      <c r="C15" s="5" t="inlineStr">
        <is>
          <t>EXISTING</t>
        </is>
      </c>
      <c r="D15" s="10" t="n">
        <v>112</v>
      </c>
      <c r="E15" s="7">
        <f>INDEX(Crops!$B$4:$B$26,MATCH($A15,Crops!$A$4:$A$26,0))</f>
        <v/>
      </c>
      <c r="F15" s="7">
        <f>IF(OR($D15="",$E15="Skip"),"",ROUND($D15*INDEX(Fractions!$B$4:$B$13,MATCH($E15,Fractions!$A$4:$A$13,0)),0))</f>
        <v/>
      </c>
      <c r="G15" s="7">
        <f>IF(OR($D15="",$E15="Skip"),"",ROUND($D15*INDEX(Fractions!$C$4:$C$13,MATCH($E15,Fractions!$A$4:$A$13,0)),0))</f>
        <v/>
      </c>
      <c r="H15" s="7">
        <f>IF(OR($D15="",$E15="Skip"),"",ROUND($D15*INDEX(Fractions!$D$4:$D$13,MATCH($E15,Fractions!$A$4:$A$13,0)),0))</f>
        <v/>
      </c>
      <c r="I15" s="7">
        <f>IF(OR($D15="",$E15="Skip"),"",ROUND($D15*INDEX(Fractions!$E$4:$E$13,MATCH($E15,Fractions!$A$4:$A$13,0)),0))</f>
        <v/>
      </c>
      <c r="J15" s="7">
        <f>IF(F15="","-",IF(AND(F15&lt;G15,G15&lt;H15,H15&lt;I15),"OK","CHECK"))</f>
        <v/>
      </c>
      <c r="K15" s="11" t="inlineStr">
        <is>
          <t>Already in system; matches PhilRice</t>
        </is>
      </c>
      <c r="L15" s="11" t="inlineStr">
        <is>
          <t>PhilRice database: 112 days - https://dbmp.philrice.gov.ph/seeds/content/seed_characteristics/varietychar.php?Vchars=65</t>
        </is>
      </c>
    </row>
    <row r="16">
      <c r="A16" s="8" t="inlineStr">
        <is>
          <t>Palay (Rice)</t>
        </is>
      </c>
      <c r="B16" s="8" t="inlineStr">
        <is>
          <t>NSIC Rc222 (Tubigan 18)</t>
        </is>
      </c>
      <c r="C16" s="5" t="inlineStr">
        <is>
          <t>EXISTING</t>
        </is>
      </c>
      <c r="D16" s="10" t="n">
        <v>114</v>
      </c>
      <c r="E16" s="7">
        <f>INDEX(Crops!$B$4:$B$26,MATCH($A16,Crops!$A$4:$A$26,0))</f>
        <v/>
      </c>
      <c r="F16" s="7">
        <f>IF(OR($D16="",$E16="Skip"),"",ROUND($D16*INDEX(Fractions!$B$4:$B$13,MATCH($E16,Fractions!$A$4:$A$13,0)),0))</f>
        <v/>
      </c>
      <c r="G16" s="7">
        <f>IF(OR($D16="",$E16="Skip"),"",ROUND($D16*INDEX(Fractions!$C$4:$C$13,MATCH($E16,Fractions!$A$4:$A$13,0)),0))</f>
        <v/>
      </c>
      <c r="H16" s="7">
        <f>IF(OR($D16="",$E16="Skip"),"",ROUND($D16*INDEX(Fractions!$D$4:$D$13,MATCH($E16,Fractions!$A$4:$A$13,0)),0))</f>
        <v/>
      </c>
      <c r="I16" s="7">
        <f>IF(OR($D16="",$E16="Skip"),"",ROUND($D16*INDEX(Fractions!$E$4:$E$13,MATCH($E16,Fractions!$A$4:$A$13,0)),0))</f>
        <v/>
      </c>
      <c r="J16" s="7">
        <f>IF(F16="","-",IF(AND(F16&lt;G16,G16&lt;H16,H16&lt;I16),"OK","CHECK"))</f>
        <v/>
      </c>
      <c r="K16" s="11" t="inlineStr">
        <is>
          <t>Already in system; matches PhilRice</t>
        </is>
      </c>
      <c r="L16" s="11" t="inlineStr">
        <is>
          <t>PhilRice: 114 transplanted / 106 direct-seeded - https://www.philrice.gov.ph/top-5-popular-rice-varieties/</t>
        </is>
      </c>
    </row>
    <row r="17">
      <c r="A17" s="8" t="inlineStr">
        <is>
          <t>Palay (Rice)</t>
        </is>
      </c>
      <c r="B17" s="8" t="inlineStr">
        <is>
          <t>NSIC Rc238</t>
        </is>
      </c>
      <c r="C17" s="5" t="inlineStr">
        <is>
          <t>EXISTING</t>
        </is>
      </c>
      <c r="D17" s="10" t="n">
        <v>108</v>
      </c>
      <c r="E17" s="7">
        <f>INDEX(Crops!$B$4:$B$26,MATCH($A17,Crops!$A$4:$A$26,0))</f>
        <v/>
      </c>
      <c r="F17" s="7">
        <f>IF(OR($D17="",$E17="Skip"),"",ROUND($D17*INDEX(Fractions!$B$4:$B$13,MATCH($E17,Fractions!$A$4:$A$13,0)),0))</f>
        <v/>
      </c>
      <c r="G17" s="7">
        <f>IF(OR($D17="",$E17="Skip"),"",ROUND($D17*INDEX(Fractions!$C$4:$C$13,MATCH($E17,Fractions!$A$4:$A$13,0)),0))</f>
        <v/>
      </c>
      <c r="H17" s="7">
        <f>IF(OR($D17="",$E17="Skip"),"",ROUND($D17*INDEX(Fractions!$D$4:$D$13,MATCH($E17,Fractions!$A$4:$A$13,0)),0))</f>
        <v/>
      </c>
      <c r="I17" s="7">
        <f>IF(OR($D17="",$E17="Skip"),"",ROUND($D17*INDEX(Fractions!$E$4:$E$13,MATCH($E17,Fractions!$A$4:$A$13,0)),0))</f>
        <v/>
      </c>
      <c r="J17" s="7">
        <f>IF(F17="","-",IF(AND(F17&lt;G17,G17&lt;H17,H17&lt;I17),"OK","CHECK"))</f>
        <v/>
      </c>
      <c r="K17" s="11" t="inlineStr">
        <is>
          <t>Already in system</t>
        </is>
      </c>
      <c r="L17" s="11" t="inlineStr">
        <is>
          <t>Not re-verified.</t>
        </is>
      </c>
    </row>
    <row r="18">
      <c r="A18" s="8" t="inlineStr">
        <is>
          <t>Palay (Rice)</t>
        </is>
      </c>
      <c r="B18" s="8" t="inlineStr">
        <is>
          <t>NSIC Rc402</t>
        </is>
      </c>
      <c r="C18" s="5" t="inlineStr">
        <is>
          <t>EXISTING</t>
        </is>
      </c>
      <c r="D18" s="10" t="n">
        <v>111</v>
      </c>
      <c r="E18" s="7">
        <f>INDEX(Crops!$B$4:$B$26,MATCH($A18,Crops!$A$4:$A$26,0))</f>
        <v/>
      </c>
      <c r="F18" s="7">
        <f>IF(OR($D18="",$E18="Skip"),"",ROUND($D18*INDEX(Fractions!$B$4:$B$13,MATCH($E18,Fractions!$A$4:$A$13,0)),0))</f>
        <v/>
      </c>
      <c r="G18" s="7">
        <f>IF(OR($D18="",$E18="Skip"),"",ROUND($D18*INDEX(Fractions!$C$4:$C$13,MATCH($E18,Fractions!$A$4:$A$13,0)),0))</f>
        <v/>
      </c>
      <c r="H18" s="7">
        <f>IF(OR($D18="",$E18="Skip"),"",ROUND($D18*INDEX(Fractions!$D$4:$D$13,MATCH($E18,Fractions!$A$4:$A$13,0)),0))</f>
        <v/>
      </c>
      <c r="I18" s="7">
        <f>IF(OR($D18="",$E18="Skip"),"",ROUND($D18*INDEX(Fractions!$E$4:$E$13,MATCH($E18,Fractions!$A$4:$A$13,0)),0))</f>
        <v/>
      </c>
      <c r="J18" s="7">
        <f>IF(F18="","-",IF(AND(F18&lt;G18,G18&lt;H18,H18&lt;I18),"OK","CHECK"))</f>
        <v/>
      </c>
      <c r="K18" s="11" t="inlineStr">
        <is>
          <t>Already in system</t>
        </is>
      </c>
      <c r="L18" s="11" t="inlineStr">
        <is>
          <t>Not re-verified.</t>
        </is>
      </c>
    </row>
    <row r="19">
      <c r="A19" s="8" t="inlineStr">
        <is>
          <t>Palay (Rice)</t>
        </is>
      </c>
      <c r="B19" s="8" t="inlineStr">
        <is>
          <t>PSB Rc10 (Rio Grande)</t>
        </is>
      </c>
      <c r="C19" s="5" t="inlineStr">
        <is>
          <t>EXISTING</t>
        </is>
      </c>
      <c r="D19" s="10" t="n">
        <v>106</v>
      </c>
      <c r="E19" s="7">
        <f>INDEX(Crops!$B$4:$B$26,MATCH($A19,Crops!$A$4:$A$26,0))</f>
        <v/>
      </c>
      <c r="F19" s="7">
        <f>IF(OR($D19="",$E19="Skip"),"",ROUND($D19*INDEX(Fractions!$B$4:$B$13,MATCH($E19,Fractions!$A$4:$A$13,0)),0))</f>
        <v/>
      </c>
      <c r="G19" s="7">
        <f>IF(OR($D19="",$E19="Skip"),"",ROUND($D19*INDEX(Fractions!$C$4:$C$13,MATCH($E19,Fractions!$A$4:$A$13,0)),0))</f>
        <v/>
      </c>
      <c r="H19" s="7">
        <f>IF(OR($D19="",$E19="Skip"),"",ROUND($D19*INDEX(Fractions!$D$4:$D$13,MATCH($E19,Fractions!$A$4:$A$13,0)),0))</f>
        <v/>
      </c>
      <c r="I19" s="7">
        <f>IF(OR($D19="",$E19="Skip"),"",ROUND($D19*INDEX(Fractions!$E$4:$E$13,MATCH($E19,Fractions!$A$4:$A$13,0)),0))</f>
        <v/>
      </c>
      <c r="J19" s="7">
        <f>IF(F19="","-",IF(AND(F19&lt;G19,G19&lt;H19,H19&lt;I19),"OK","CHECK"))</f>
        <v/>
      </c>
      <c r="K19" s="11" t="inlineStr">
        <is>
          <t>Already in system; matches listing</t>
        </is>
      </c>
      <c r="L19" s="11" t="inlineStr">
        <is>
          <t>PinoyRice listing (Pagsanjan): 106 days - https://www.pinoyrice.com/wp-content/uploads/rice-varieties/PAGSANJAN.html</t>
        </is>
      </c>
    </row>
    <row r="20">
      <c r="A20" s="8" t="inlineStr">
        <is>
          <t>Corn (Mais)</t>
        </is>
      </c>
      <c r="B20" s="8" t="inlineStr">
        <is>
          <t>Sweet Corn Hybrid</t>
        </is>
      </c>
      <c r="C20" s="5" t="inlineStr">
        <is>
          <t>EXISTING</t>
        </is>
      </c>
      <c r="D20" s="10" t="n">
        <v>70</v>
      </c>
      <c r="E20" s="7">
        <f>INDEX(Crops!$B$4:$B$26,MATCH($A20,Crops!$A$4:$A$26,0))</f>
        <v/>
      </c>
      <c r="F20" s="7">
        <f>IF(OR($D20="",$E20="Skip"),"",ROUND($D20*INDEX(Fractions!$B$4:$B$13,MATCH($E20,Fractions!$A$4:$A$13,0)),0))</f>
        <v/>
      </c>
      <c r="G20" s="7">
        <f>IF(OR($D20="",$E20="Skip"),"",ROUND($D20*INDEX(Fractions!$C$4:$C$13,MATCH($E20,Fractions!$A$4:$A$13,0)),0))</f>
        <v/>
      </c>
      <c r="H20" s="7">
        <f>IF(OR($D20="",$E20="Skip"),"",ROUND($D20*INDEX(Fractions!$D$4:$D$13,MATCH($E20,Fractions!$A$4:$A$13,0)),0))</f>
        <v/>
      </c>
      <c r="I20" s="7">
        <f>IF(OR($D20="",$E20="Skip"),"",ROUND($D20*INDEX(Fractions!$E$4:$E$13,MATCH($E20,Fractions!$A$4:$A$13,0)),0))</f>
        <v/>
      </c>
      <c r="J20" s="7">
        <f>IF(F20="","-",IF(AND(F20&lt;G20,G20&lt;H20,H20&lt;I20),"OK","CHECK"))</f>
        <v/>
      </c>
      <c r="K20" s="11" t="inlineStr">
        <is>
          <t>Already in system</t>
        </is>
      </c>
      <c r="L20" s="11" t="inlineStr">
        <is>
          <t>Generic hybrid type, not re-verified.</t>
        </is>
      </c>
    </row>
    <row r="21">
      <c r="A21" s="8" t="inlineStr">
        <is>
          <t>Corn (Mais)</t>
        </is>
      </c>
      <c r="B21" s="8" t="inlineStr">
        <is>
          <t>Yellow Flint Hybrid</t>
        </is>
      </c>
      <c r="C21" s="5" t="inlineStr">
        <is>
          <t>EXISTING</t>
        </is>
      </c>
      <c r="D21" s="10" t="n">
        <v>110</v>
      </c>
      <c r="E21" s="7">
        <f>INDEX(Crops!$B$4:$B$26,MATCH($A21,Crops!$A$4:$A$26,0))</f>
        <v/>
      </c>
      <c r="F21" s="7">
        <f>IF(OR($D21="",$E21="Skip"),"",ROUND($D21*INDEX(Fractions!$B$4:$B$13,MATCH($E21,Fractions!$A$4:$A$13,0)),0))</f>
        <v/>
      </c>
      <c r="G21" s="7">
        <f>IF(OR($D21="",$E21="Skip"),"",ROUND($D21*INDEX(Fractions!$C$4:$C$13,MATCH($E21,Fractions!$A$4:$A$13,0)),0))</f>
        <v/>
      </c>
      <c r="H21" s="7">
        <f>IF(OR($D21="",$E21="Skip"),"",ROUND($D21*INDEX(Fractions!$D$4:$D$13,MATCH($E21,Fractions!$A$4:$A$13,0)),0))</f>
        <v/>
      </c>
      <c r="I21" s="7">
        <f>IF(OR($D21="",$E21="Skip"),"",ROUND($D21*INDEX(Fractions!$E$4:$E$13,MATCH($E21,Fractions!$A$4:$A$13,0)),0))</f>
        <v/>
      </c>
      <c r="J21" s="7">
        <f>IF(F21="","-",IF(AND(F21&lt;G21,G21&lt;H21,H21&lt;I21),"OK","CHECK"))</f>
        <v/>
      </c>
      <c r="K21" s="11" t="inlineStr">
        <is>
          <t>Already in system</t>
        </is>
      </c>
      <c r="L21" s="11" t="inlineStr">
        <is>
          <t>Generic hybrid type, not re-verified.</t>
        </is>
      </c>
    </row>
    <row r="22">
      <c r="A22" s="8" t="inlineStr">
        <is>
          <t>Tomato</t>
        </is>
      </c>
      <c r="B22" s="8" t="inlineStr">
        <is>
          <t>Diamante Max</t>
        </is>
      </c>
      <c r="C22" s="5" t="inlineStr">
        <is>
          <t>EXISTING</t>
        </is>
      </c>
      <c r="D22" s="10" t="n">
        <v>75</v>
      </c>
      <c r="E22" s="7">
        <f>INDEX(Crops!$B$4:$B$26,MATCH($A22,Crops!$A$4:$A$26,0))</f>
        <v/>
      </c>
      <c r="F22" s="7">
        <f>IF(OR($D22="",$E22="Skip"),"",ROUND($D22*INDEX(Fractions!$B$4:$B$13,MATCH($E22,Fractions!$A$4:$A$13,0)),0))</f>
        <v/>
      </c>
      <c r="G22" s="7">
        <f>IF(OR($D22="",$E22="Skip"),"",ROUND($D22*INDEX(Fractions!$C$4:$C$13,MATCH($E22,Fractions!$A$4:$A$13,0)),0))</f>
        <v/>
      </c>
      <c r="H22" s="7">
        <f>IF(OR($D22="",$E22="Skip"),"",ROUND($D22*INDEX(Fractions!$D$4:$D$13,MATCH($E22,Fractions!$A$4:$A$13,0)),0))</f>
        <v/>
      </c>
      <c r="I22" s="7">
        <f>IF(OR($D22="",$E22="Skip"),"",ROUND($D22*INDEX(Fractions!$E$4:$E$13,MATCH($E22,Fractions!$A$4:$A$13,0)),0))</f>
        <v/>
      </c>
      <c r="J22" s="7">
        <f>IF(F22="","-",IF(AND(F22&lt;G22,G22&lt;H22,H22&lt;I22),"OK","CHECK"))</f>
        <v/>
      </c>
      <c r="K22" s="11" t="inlineStr">
        <is>
          <t>Already in system</t>
        </is>
      </c>
      <c r="L22" s="11" t="inlineStr">
        <is>
          <t>No published days found; stage days are scaled to this length.</t>
        </is>
      </c>
    </row>
    <row r="23">
      <c r="A23" s="8" t="inlineStr">
        <is>
          <t>Eggplant (Talong)</t>
        </is>
      </c>
      <c r="B23" s="8" t="inlineStr">
        <is>
          <t>Mistisa</t>
        </is>
      </c>
      <c r="C23" s="5" t="inlineStr">
        <is>
          <t>EXISTING</t>
        </is>
      </c>
      <c r="D23" s="10" t="n">
        <v>55</v>
      </c>
      <c r="E23" s="7">
        <f>INDEX(Crops!$B$4:$B$26,MATCH($A23,Crops!$A$4:$A$26,0))</f>
        <v/>
      </c>
      <c r="F23" s="7">
        <f>IF(OR($D23="",$E23="Skip"),"",ROUND($D23*INDEX(Fractions!$B$4:$B$13,MATCH($E23,Fractions!$A$4:$A$13,0)),0))</f>
        <v/>
      </c>
      <c r="G23" s="7">
        <f>IF(OR($D23="",$E23="Skip"),"",ROUND($D23*INDEX(Fractions!$C$4:$C$13,MATCH($E23,Fractions!$A$4:$A$13,0)),0))</f>
        <v/>
      </c>
      <c r="H23" s="7">
        <f>IF(OR($D23="",$E23="Skip"),"",ROUND($D23*INDEX(Fractions!$D$4:$D$13,MATCH($E23,Fractions!$A$4:$A$13,0)),0))</f>
        <v/>
      </c>
      <c r="I23" s="7">
        <f>IF(OR($D23="",$E23="Skip"),"",ROUND($D23*INDEX(Fractions!$E$4:$E$13,MATCH($E23,Fractions!$A$4:$A$13,0)),0))</f>
        <v/>
      </c>
      <c r="J23" s="7">
        <f>IF(F23="","-",IF(AND(F23&lt;G23,G23&lt;H23,H23&lt;I23),"OK","CHECK"))</f>
        <v/>
      </c>
      <c r="K23" s="11" t="inlineStr">
        <is>
          <t>Already in system</t>
        </is>
      </c>
      <c r="L23" s="11" t="inlineStr">
        <is>
          <t>No published days found.</t>
        </is>
      </c>
    </row>
    <row r="24">
      <c r="A24" s="8" t="inlineStr">
        <is>
          <t>Cabbage</t>
        </is>
      </c>
      <c r="B24" s="8" t="inlineStr">
        <is>
          <t>Scorpio</t>
        </is>
      </c>
      <c r="C24" s="5" t="inlineStr">
        <is>
          <t>EXISTING</t>
        </is>
      </c>
      <c r="D24" s="10" t="n">
        <v>72</v>
      </c>
      <c r="E24" s="7">
        <f>INDEX(Crops!$B$4:$B$26,MATCH($A24,Crops!$A$4:$A$26,0))</f>
        <v/>
      </c>
      <c r="F24" s="7">
        <f>IF(OR($D24="",$E24="Skip"),"",ROUND($D24*INDEX(Fractions!$B$4:$B$13,MATCH($E24,Fractions!$A$4:$A$13,0)),0))</f>
        <v/>
      </c>
      <c r="G24" s="7">
        <f>IF(OR($D24="",$E24="Skip"),"",ROUND($D24*INDEX(Fractions!$C$4:$C$13,MATCH($E24,Fractions!$A$4:$A$13,0)),0))</f>
        <v/>
      </c>
      <c r="H24" s="7">
        <f>IF(OR($D24="",$E24="Skip"),"",ROUND($D24*INDEX(Fractions!$D$4:$D$13,MATCH($E24,Fractions!$A$4:$A$13,0)),0))</f>
        <v/>
      </c>
      <c r="I24" s="7">
        <f>IF(OR($D24="",$E24="Skip"),"",ROUND($D24*INDEX(Fractions!$E$4:$E$13,MATCH($E24,Fractions!$A$4:$A$13,0)),0))</f>
        <v/>
      </c>
      <c r="J24" s="7">
        <f>IF(F24="","-",IF(AND(F24&lt;G24,G24&lt;H24,H24&lt;I24),"OK","CHECK"))</f>
        <v/>
      </c>
      <c r="K24" s="11" t="inlineStr">
        <is>
          <t>Already in system</t>
        </is>
      </c>
      <c r="L24" s="11" t="inlineStr">
        <is>
          <t>DA guide lists Scorpio as a dry-season variety.</t>
        </is>
      </c>
    </row>
    <row r="25">
      <c r="A25" s="8" t="inlineStr">
        <is>
          <t>Cabbage</t>
        </is>
      </c>
      <c r="B25" s="8" t="inlineStr">
        <is>
          <t>Rareball</t>
        </is>
      </c>
      <c r="C25" s="5" t="inlineStr">
        <is>
          <t>EXISTING</t>
        </is>
      </c>
      <c r="D25" s="10" t="n">
        <v>75</v>
      </c>
      <c r="E25" s="7">
        <f>INDEX(Crops!$B$4:$B$26,MATCH($A25,Crops!$A$4:$A$26,0))</f>
        <v/>
      </c>
      <c r="F25" s="7">
        <f>IF(OR($D25="",$E25="Skip"),"",ROUND($D25*INDEX(Fractions!$B$4:$B$13,MATCH($E25,Fractions!$A$4:$A$13,0)),0))</f>
        <v/>
      </c>
      <c r="G25" s="7">
        <f>IF(OR($D25="",$E25="Skip"),"",ROUND($D25*INDEX(Fractions!$C$4:$C$13,MATCH($E25,Fractions!$A$4:$A$13,0)),0))</f>
        <v/>
      </c>
      <c r="H25" s="7">
        <f>IF(OR($D25="",$E25="Skip"),"",ROUND($D25*INDEX(Fractions!$D$4:$D$13,MATCH($E25,Fractions!$A$4:$A$13,0)),0))</f>
        <v/>
      </c>
      <c r="I25" s="7">
        <f>IF(OR($D25="",$E25="Skip"),"",ROUND($D25*INDEX(Fractions!$E$4:$E$13,MATCH($E25,Fractions!$A$4:$A$13,0)),0))</f>
        <v/>
      </c>
      <c r="J25" s="7">
        <f>IF(F25="","-",IF(AND(F25&lt;G25,G25&lt;H25,H25&lt;I25),"OK","CHECK"))</f>
        <v/>
      </c>
      <c r="K25" s="11" t="inlineStr">
        <is>
          <t>Already in system</t>
        </is>
      </c>
      <c r="L25" s="11" t="inlineStr">
        <is>
          <t>DA guide lists Rareball as a wet-season variety.</t>
        </is>
      </c>
    </row>
    <row r="26">
      <c r="A26" s="8" t="inlineStr">
        <is>
          <t>Onion</t>
        </is>
      </c>
      <c r="B26" s="8" t="inlineStr">
        <is>
          <t>Red Creole</t>
        </is>
      </c>
      <c r="C26" s="5" t="inlineStr">
        <is>
          <t>EXISTING</t>
        </is>
      </c>
      <c r="D26" s="10" t="n">
        <v>110</v>
      </c>
      <c r="E26" s="7">
        <f>INDEX(Crops!$B$4:$B$26,MATCH($A26,Crops!$A$4:$A$26,0))</f>
        <v/>
      </c>
      <c r="F26" s="7">
        <f>IF(OR($D26="",$E26="Skip"),"",ROUND($D26*INDEX(Fractions!$B$4:$B$13,MATCH($E26,Fractions!$A$4:$A$13,0)),0))</f>
        <v/>
      </c>
      <c r="G26" s="7">
        <f>IF(OR($D26="",$E26="Skip"),"",ROUND($D26*INDEX(Fractions!$C$4:$C$13,MATCH($E26,Fractions!$A$4:$A$13,0)),0))</f>
        <v/>
      </c>
      <c r="H26" s="7">
        <f>IF(OR($D26="",$E26="Skip"),"",ROUND($D26*INDEX(Fractions!$D$4:$D$13,MATCH($E26,Fractions!$A$4:$A$13,0)),0))</f>
        <v/>
      </c>
      <c r="I26" s="7">
        <f>IF(OR($D26="",$E26="Skip"),"",ROUND($D26*INDEX(Fractions!$E$4:$E$13,MATCH($E26,Fractions!$A$4:$A$13,0)),0))</f>
        <v/>
      </c>
      <c r="J26" s="7">
        <f>IF(F26="","-",IF(AND(F26&lt;G26,G26&lt;H26,H26&lt;I26),"OK","CHECK"))</f>
        <v/>
      </c>
      <c r="K26" s="11" t="inlineStr">
        <is>
          <t>Already in system</t>
        </is>
      </c>
      <c r="L26" s="11" t="inlineStr">
        <is>
          <t>Not re-verified.</t>
        </is>
      </c>
    </row>
    <row r="27">
      <c r="A27" s="8" t="inlineStr">
        <is>
          <t>Onion</t>
        </is>
      </c>
      <c r="B27" s="8" t="inlineStr">
        <is>
          <t>Yellow Granex</t>
        </is>
      </c>
      <c r="C27" s="5" t="inlineStr">
        <is>
          <t>EXISTING</t>
        </is>
      </c>
      <c r="D27" s="10" t="n">
        <v>95</v>
      </c>
      <c r="E27" s="7">
        <f>INDEX(Crops!$B$4:$B$26,MATCH($A27,Crops!$A$4:$A$26,0))</f>
        <v/>
      </c>
      <c r="F27" s="7">
        <f>IF(OR($D27="",$E27="Skip"),"",ROUND($D27*INDEX(Fractions!$B$4:$B$13,MATCH($E27,Fractions!$A$4:$A$13,0)),0))</f>
        <v/>
      </c>
      <c r="G27" s="7">
        <f>IF(OR($D27="",$E27="Skip"),"",ROUND($D27*INDEX(Fractions!$C$4:$C$13,MATCH($E27,Fractions!$A$4:$A$13,0)),0))</f>
        <v/>
      </c>
      <c r="H27" s="7">
        <f>IF(OR($D27="",$E27="Skip"),"",ROUND($D27*INDEX(Fractions!$D$4:$D$13,MATCH($E27,Fractions!$A$4:$A$13,0)),0))</f>
        <v/>
      </c>
      <c r="I27" s="7">
        <f>IF(OR($D27="",$E27="Skip"),"",ROUND($D27*INDEX(Fractions!$E$4:$E$13,MATCH($E27,Fractions!$A$4:$A$13,0)),0))</f>
        <v/>
      </c>
      <c r="J27" s="7">
        <f>IF(F27="","-",IF(AND(F27&lt;G27,G27&lt;H27,H27&lt;I27),"OK","CHECK"))</f>
        <v/>
      </c>
      <c r="K27" s="11" t="inlineStr">
        <is>
          <t>Already in system</t>
        </is>
      </c>
      <c r="L27" s="11" t="inlineStr">
        <is>
          <t>Not re-verified.</t>
        </is>
      </c>
    </row>
    <row r="28">
      <c r="A28" s="8" t="inlineStr">
        <is>
          <t>Pechay</t>
        </is>
      </c>
      <c r="B28" s="8" t="inlineStr">
        <is>
          <t>Black Behi</t>
        </is>
      </c>
      <c r="C28" s="5" t="inlineStr">
        <is>
          <t>EXISTING</t>
        </is>
      </c>
      <c r="D28" s="10" t="n">
        <v>27</v>
      </c>
      <c r="E28" s="7">
        <f>INDEX(Crops!$B$4:$B$26,MATCH($A28,Crops!$A$4:$A$26,0))</f>
        <v/>
      </c>
      <c r="F28" s="7">
        <f>IF(OR($D28="",$E28="Skip"),"",ROUND($D28*INDEX(Fractions!$B$4:$B$13,MATCH($E28,Fractions!$A$4:$A$13,0)),0))</f>
        <v/>
      </c>
      <c r="G28" s="7">
        <f>IF(OR($D28="",$E28="Skip"),"",ROUND($D28*INDEX(Fractions!$C$4:$C$13,MATCH($E28,Fractions!$A$4:$A$13,0)),0))</f>
        <v/>
      </c>
      <c r="H28" s="7">
        <f>IF(OR($D28="",$E28="Skip"),"",ROUND($D28*INDEX(Fractions!$D$4:$D$13,MATCH($E28,Fractions!$A$4:$A$13,0)),0))</f>
        <v/>
      </c>
      <c r="I28" s="7">
        <f>IF(OR($D28="",$E28="Skip"),"",ROUND($D28*INDEX(Fractions!$E$4:$E$13,MATCH($E28,Fractions!$A$4:$A$13,0)),0))</f>
        <v/>
      </c>
      <c r="J28" s="7">
        <f>IF(F28="","-",IF(AND(F28&lt;G28,G28&lt;H28,H28&lt;I28),"OK","CHECK"))</f>
        <v/>
      </c>
      <c r="K28" s="11" t="inlineStr">
        <is>
          <t>Already in system</t>
        </is>
      </c>
      <c r="L28" s="11" t="inlineStr">
        <is>
          <t>Not re-verified.</t>
        </is>
      </c>
    </row>
    <row r="29">
      <c r="A29" s="8" t="inlineStr">
        <is>
          <t>Watermelon</t>
        </is>
      </c>
      <c r="B29" s="8" t="inlineStr">
        <is>
          <t>Sweet Beauty</t>
        </is>
      </c>
      <c r="C29" s="5" t="inlineStr">
        <is>
          <t>EXISTING</t>
        </is>
      </c>
      <c r="D29" s="10" t="n">
        <v>78</v>
      </c>
      <c r="E29" s="7">
        <f>INDEX(Crops!$B$4:$B$26,MATCH($A29,Crops!$A$4:$A$26,0))</f>
        <v/>
      </c>
      <c r="F29" s="7">
        <f>IF(OR($D29="",$E29="Skip"),"",ROUND($D29*INDEX(Fractions!$B$4:$B$13,MATCH($E29,Fractions!$A$4:$A$13,0)),0))</f>
        <v/>
      </c>
      <c r="G29" s="7">
        <f>IF(OR($D29="",$E29="Skip"),"",ROUND($D29*INDEX(Fractions!$C$4:$C$13,MATCH($E29,Fractions!$A$4:$A$13,0)),0))</f>
        <v/>
      </c>
      <c r="H29" s="7">
        <f>IF(OR($D29="",$E29="Skip"),"",ROUND($D29*INDEX(Fractions!$D$4:$D$13,MATCH($E29,Fractions!$A$4:$A$13,0)),0))</f>
        <v/>
      </c>
      <c r="I29" s="7">
        <f>IF(OR($D29="",$E29="Skip"),"",ROUND($D29*INDEX(Fractions!$E$4:$E$13,MATCH($E29,Fractions!$A$4:$A$13,0)),0))</f>
        <v/>
      </c>
      <c r="J29" s="7">
        <f>IF(F29="","-",IF(AND(F29&lt;G29,G29&lt;H29,H29&lt;I29),"OK","CHECK"))</f>
        <v/>
      </c>
      <c r="K29" s="11" t="inlineStr">
        <is>
          <t>Already in system</t>
        </is>
      </c>
      <c r="L29" s="11" t="inlineStr">
        <is>
          <t>Not re-verified.</t>
        </is>
      </c>
    </row>
    <row r="30">
      <c r="A30" s="8" t="inlineStr">
        <is>
          <t>Cassava</t>
        </is>
      </c>
      <c r="B30" s="8" t="inlineStr">
        <is>
          <t>KU50</t>
        </is>
      </c>
      <c r="C30" s="5" t="inlineStr">
        <is>
          <t>EXISTING</t>
        </is>
      </c>
      <c r="D30" s="10" t="n">
        <v>300</v>
      </c>
      <c r="E30" s="7">
        <f>INDEX(Crops!$B$4:$B$26,MATCH($A30,Crops!$A$4:$A$26,0))</f>
        <v/>
      </c>
      <c r="F30" s="7">
        <f>IF(OR($D30="",$E30="Skip"),"",ROUND($D30*INDEX(Fractions!$B$4:$B$13,MATCH($E30,Fractions!$A$4:$A$13,0)),0))</f>
        <v/>
      </c>
      <c r="G30" s="7">
        <f>IF(OR($D30="",$E30="Skip"),"",ROUND($D30*INDEX(Fractions!$C$4:$C$13,MATCH($E30,Fractions!$A$4:$A$13,0)),0))</f>
        <v/>
      </c>
      <c r="H30" s="7">
        <f>IF(OR($D30="",$E30="Skip"),"",ROUND($D30*INDEX(Fractions!$D$4:$D$13,MATCH($E30,Fractions!$A$4:$A$13,0)),0))</f>
        <v/>
      </c>
      <c r="I30" s="7">
        <f>IF(OR($D30="",$E30="Skip"),"",ROUND($D30*INDEX(Fractions!$E$4:$E$13,MATCH($E30,Fractions!$A$4:$A$13,0)),0))</f>
        <v/>
      </c>
      <c r="J30" s="7">
        <f>IF(F30="","-",IF(AND(F30&lt;G30,G30&lt;H30,H30&lt;I30),"OK","CHECK"))</f>
        <v/>
      </c>
      <c r="K30" s="11" t="inlineStr">
        <is>
          <t>Already in system</t>
        </is>
      </c>
      <c r="L30" s="11" t="inlineStr">
        <is>
          <t>Not re-verified.</t>
        </is>
      </c>
    </row>
    <row r="31">
      <c r="A31" s="8" t="inlineStr">
        <is>
          <t>Banana (Saging)</t>
        </is>
      </c>
      <c r="B31" s="8" t="inlineStr">
        <is>
          <t>Cavendish</t>
        </is>
      </c>
      <c r="C31" s="5" t="inlineStr">
        <is>
          <t>EXISTING</t>
        </is>
      </c>
      <c r="D31" s="10" t="n">
        <v>210</v>
      </c>
      <c r="E31" s="7">
        <f>INDEX(Crops!$B$4:$B$26,MATCH($A31,Crops!$A$4:$A$26,0))</f>
        <v/>
      </c>
      <c r="F31" s="7">
        <f>IF(OR($D31="",$E31="Skip"),"",ROUND($D31*INDEX(Fractions!$B$4:$B$13,MATCH($E31,Fractions!$A$4:$A$13,0)),0))</f>
        <v/>
      </c>
      <c r="G31" s="7">
        <f>IF(OR($D31="",$E31="Skip"),"",ROUND($D31*INDEX(Fractions!$C$4:$C$13,MATCH($E31,Fractions!$A$4:$A$13,0)),0))</f>
        <v/>
      </c>
      <c r="H31" s="7">
        <f>IF(OR($D31="",$E31="Skip"),"",ROUND($D31*INDEX(Fractions!$D$4:$D$13,MATCH($E31,Fractions!$A$4:$A$13,0)),0))</f>
        <v/>
      </c>
      <c r="I31" s="7">
        <f>IF(OR($D31="",$E31="Skip"),"",ROUND($D31*INDEX(Fractions!$E$4:$E$13,MATCH($E31,Fractions!$A$4:$A$13,0)),0))</f>
        <v/>
      </c>
      <c r="J31" s="7">
        <f>IF(F31="","-",IF(AND(F31&lt;G31,G31&lt;H31,H31&lt;I31),"OK","CHECK"))</f>
        <v/>
      </c>
      <c r="K31" s="11" t="inlineStr">
        <is>
          <t>Already in system</t>
        </is>
      </c>
      <c r="L31" s="11" t="inlineStr">
        <is>
          <t>Perennial: no stage days.</t>
        </is>
      </c>
    </row>
    <row r="32">
      <c r="A32" s="8" t="inlineStr">
        <is>
          <t>Banana (Saging)</t>
        </is>
      </c>
      <c r="B32" s="8" t="inlineStr">
        <is>
          <t>Lakatan</t>
        </is>
      </c>
      <c r="C32" s="5" t="inlineStr">
        <is>
          <t>EXISTING</t>
        </is>
      </c>
      <c r="D32" s="10" t="n">
        <v>300</v>
      </c>
      <c r="E32" s="7">
        <f>INDEX(Crops!$B$4:$B$26,MATCH($A32,Crops!$A$4:$A$26,0))</f>
        <v/>
      </c>
      <c r="F32" s="7">
        <f>IF(OR($D32="",$E32="Skip"),"",ROUND($D32*INDEX(Fractions!$B$4:$B$13,MATCH($E32,Fractions!$A$4:$A$13,0)),0))</f>
        <v/>
      </c>
      <c r="G32" s="7">
        <f>IF(OR($D32="",$E32="Skip"),"",ROUND($D32*INDEX(Fractions!$C$4:$C$13,MATCH($E32,Fractions!$A$4:$A$13,0)),0))</f>
        <v/>
      </c>
      <c r="H32" s="7">
        <f>IF(OR($D32="",$E32="Skip"),"",ROUND($D32*INDEX(Fractions!$D$4:$D$13,MATCH($E32,Fractions!$A$4:$A$13,0)),0))</f>
        <v/>
      </c>
      <c r="I32" s="7">
        <f>IF(OR($D32="",$E32="Skip"),"",ROUND($D32*INDEX(Fractions!$E$4:$E$13,MATCH($E32,Fractions!$A$4:$A$13,0)),0))</f>
        <v/>
      </c>
      <c r="J32" s="7">
        <f>IF(F32="","-",IF(AND(F32&lt;G32,G32&lt;H32,H32&lt;I32),"OK","CHECK"))</f>
        <v/>
      </c>
      <c r="K32" s="11" t="inlineStr">
        <is>
          <t>Already in system</t>
        </is>
      </c>
      <c r="L32" s="11" t="inlineStr">
        <is>
          <t>Perennial: no stage days.</t>
        </is>
      </c>
    </row>
    <row r="33">
      <c r="A33" s="8" t="inlineStr">
        <is>
          <t>Banana (Saging)</t>
        </is>
      </c>
      <c r="B33" s="8" t="inlineStr">
        <is>
          <t>Saba</t>
        </is>
      </c>
      <c r="C33" s="5" t="inlineStr">
        <is>
          <t>EXISTING</t>
        </is>
      </c>
      <c r="D33" s="10" t="n">
        <v>465</v>
      </c>
      <c r="E33" s="7">
        <f>INDEX(Crops!$B$4:$B$26,MATCH($A33,Crops!$A$4:$A$26,0))</f>
        <v/>
      </c>
      <c r="F33" s="7">
        <f>IF(OR($D33="",$E33="Skip"),"",ROUND($D33*INDEX(Fractions!$B$4:$B$13,MATCH($E33,Fractions!$A$4:$A$13,0)),0))</f>
        <v/>
      </c>
      <c r="G33" s="7">
        <f>IF(OR($D33="",$E33="Skip"),"",ROUND($D33*INDEX(Fractions!$C$4:$C$13,MATCH($E33,Fractions!$A$4:$A$13,0)),0))</f>
        <v/>
      </c>
      <c r="H33" s="7">
        <f>IF(OR($D33="",$E33="Skip"),"",ROUND($D33*INDEX(Fractions!$D$4:$D$13,MATCH($E33,Fractions!$A$4:$A$13,0)),0))</f>
        <v/>
      </c>
      <c r="I33" s="7">
        <f>IF(OR($D33="",$E33="Skip"),"",ROUND($D33*INDEX(Fractions!$E$4:$E$13,MATCH($E33,Fractions!$A$4:$A$13,0)),0))</f>
        <v/>
      </c>
      <c r="J33" s="7">
        <f>IF(F33="","-",IF(AND(F33&lt;G33,G33&lt;H33,H33&lt;I33),"OK","CHECK"))</f>
        <v/>
      </c>
      <c r="K33" s="11" t="inlineStr">
        <is>
          <t>Already in system</t>
        </is>
      </c>
      <c r="L33" s="11" t="inlineStr">
        <is>
          <t>Perennial: no stage days.</t>
        </is>
      </c>
    </row>
    <row r="35">
      <c r="A35" s="12" t="inlineStr">
        <is>
          <t>ADD = new variety; UPDATE days = existing variety whose days-to-harvest is filled in; EXISTING = already in the system with its own days, shown so its stage days can be set. Blank days = no published figure, so the variety inherits its crop's days and stage days.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80" customWidth="1" min="1" max="1"/>
    <col width="110" customWidth="1" min="2" max="2"/>
  </cols>
  <sheetData>
    <row r="1">
      <c r="A1" s="1" t="inlineStr">
        <is>
          <t>Sources used (all read on 2026-10-22)</t>
        </is>
      </c>
    </row>
    <row r="3">
      <c r="A3" s="4" t="inlineStr">
        <is>
          <t>What it supports</t>
        </is>
      </c>
      <c r="B3" s="4" t="inlineStr">
        <is>
          <t>Link</t>
        </is>
      </c>
    </row>
    <row r="4">
      <c r="A4" s="5" t="inlineStr">
        <is>
          <t>Rc216 maturity 112 days</t>
        </is>
      </c>
      <c r="B4" s="5" t="inlineStr">
        <is>
          <t>https://dbmp.philrice.gov.ph/seeds/content/seed_characteristics/varietychar.php?Vchars=65</t>
        </is>
      </c>
    </row>
    <row r="5">
      <c r="A5" s="5" t="inlineStr">
        <is>
          <t>Rc222 114 / 106 days; Rc216 112 / 104 days (transplanted / direct-seeded)</t>
        </is>
      </c>
      <c r="B5" s="5" t="inlineStr">
        <is>
          <t>https://www.philrice.gov.ph/top-5-popular-rice-varieties/</t>
        </is>
      </c>
    </row>
    <row r="6">
      <c r="A6" s="5" t="inlineStr">
        <is>
          <t>Rc300 matures 115 days after sowing (transplanted)</t>
        </is>
      </c>
      <c r="B6" s="5" t="inlineStr">
        <is>
          <t>https://www.philrice.gov.ph/?p=7338</t>
        </is>
      </c>
    </row>
    <row r="7">
      <c r="A7" s="5" t="inlineStr">
        <is>
          <t>PSB Rc10 (Pagsanjan) 106 days</t>
        </is>
      </c>
      <c r="B7" s="5" t="inlineStr">
        <is>
          <t>https://www.pinoyrice.com/wp-content/uploads/rice-varieties/PAGSANJAN.html</t>
        </is>
      </c>
    </row>
    <row r="8">
      <c r="A8" s="5" t="inlineStr">
        <is>
          <t>Apollo tomato flowers 28-30 days after transplanting (Philippine trial)</t>
        </is>
      </c>
      <c r="B8" s="5" t="inlineStr">
        <is>
          <t>https://www.ejournals.ph/article.php?id=17258</t>
        </is>
      </c>
    </row>
    <row r="9">
      <c r="A9" s="5" t="inlineStr">
        <is>
          <t>Cabbage 55-60 days after transplanting; Scorpio dry season, Rareball wet season</t>
        </is>
      </c>
      <c r="B9" s="5" t="inlineStr">
        <is>
          <t>https://ati2.da.gov.ph/ati-7/content/sites/default/files/users/user16/Cabbage%20Production%20Guide.pdf</t>
        </is>
      </c>
    </row>
    <row r="10">
      <c r="A10" s="5" t="inlineStr">
        <is>
          <t>Pag-asa 7 mungbean matured earliest at 55 days (La Union thesis)</t>
        </is>
      </c>
      <c r="B10" s="5" t="inlineStr">
        <is>
          <t>https://lakasa.dmmmsu.edu.ph/handle/123456789/1062</t>
        </is>
      </c>
    </row>
    <row r="11">
      <c r="A11" s="5" t="inlineStr">
        <is>
          <t>Pag-asa 3 mungbean 63-73 days after emergence</t>
        </is>
      </c>
      <c r="B11" s="5" t="inlineStr">
        <is>
          <t>https://ovcre.uplb.edu.ph/research/our-technologies/article/212-pag-asa-3-mungbean</t>
        </is>
      </c>
    </row>
    <row r="12">
      <c r="A12" s="5" t="inlineStr">
        <is>
          <t>PSB Mg 10 = IPB Mg 7a 13-45 mungbean</t>
        </is>
      </c>
      <c r="B12" s="5" t="inlineStr">
        <is>
          <t>https://agris.fao.org/search/ar/records/647239efe17b74d2224eef12</t>
        </is>
      </c>
    </row>
    <row r="13">
      <c r="A13" s="5" t="inlineStr">
        <is>
          <t>Peanut varieties PSB Pn 1 (UPL Pn 10), PSB Pn 12 (UPL Pn 12), BPI Pn 9</t>
        </is>
      </c>
      <c r="B13" s="5" t="inlineStr">
        <is>
          <t>https://library.buplant.da.gov.ph/./images/1641970554PEANUT%20production%20guide.pdf</t>
        </is>
      </c>
    </row>
    <row r="14">
      <c r="A14" s="5" t="inlineStr">
        <is>
          <t>Makasim (NSIC 2023 C1 01): first NSIC-registered calamansi</t>
        </is>
      </c>
      <c r="B14" s="5" t="inlineStr">
        <is>
          <t>https://www.da.gov.ph/gallery/planting-ceremony-of-1st-nsic-registered-calamansi-january-25-2024/</t>
        </is>
      </c>
    </row>
    <row r="15">
      <c r="A15" s="5" t="inlineStr">
        <is>
          <t>Edible bamboo species: Kawayang Tinik, Kawayang Kiling, Giant bamboo (UPLB survey)</t>
        </is>
      </c>
      <c r="B15" s="5" t="inlineStr">
        <is>
          <t>https://www.ukdr.uplb.edu.ph/journal-articles/4649</t>
        </is>
      </c>
    </row>
    <row r="16">
      <c r="A16" s="5" t="inlineStr">
        <is>
          <t>NOT FOUND anywhere: published stage-start days (vegetative / flowering / fruiting / maturity) for any variety. The Fractions sheet is my estimate.</t>
        </is>
      </c>
      <c r="B1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2026-10-21T16:10:06Z</dcterms:created>
  <dcterms:modified xsi:type="dcterms:W3CDTF">2026-10-21T16:10:06Z</dcterms:modified>
</cp:coreProperties>
</file>